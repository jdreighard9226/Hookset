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jreig\Downloads\"/>
    </mc:Choice>
  </mc:AlternateContent>
  <xr:revisionPtr revIDLastSave="0" documentId="13_ncr:1_{BA377D2B-A936-44D6-844A-9A56AADF4630}" xr6:coauthVersionLast="47" xr6:coauthVersionMax="47" xr10:uidLastSave="{00000000-0000-0000-0000-000000000000}"/>
  <bookViews>
    <workbookView xWindow="-90" yWindow="-90" windowWidth="19380" windowHeight="11460" xr2:uid="{00000000-000D-0000-FFFF-FFFF00000000}"/>
  </bookViews>
  <sheets>
    <sheet name="Hookset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4" i="1" l="1"/>
  <c r="E54" i="1"/>
  <c r="F53" i="1"/>
  <c r="E53" i="1"/>
  <c r="F52" i="1"/>
  <c r="E52" i="1"/>
  <c r="F51" i="1"/>
  <c r="E51" i="1"/>
  <c r="F50" i="1"/>
  <c r="E50" i="1"/>
  <c r="F49" i="1"/>
  <c r="E49" i="1"/>
  <c r="F48" i="1"/>
  <c r="E48" i="1"/>
  <c r="F47" i="1"/>
  <c r="E47" i="1"/>
  <c r="F46" i="1"/>
  <c r="E46" i="1"/>
  <c r="F45" i="1"/>
  <c r="E45" i="1"/>
  <c r="F44" i="1"/>
  <c r="E44" i="1"/>
  <c r="F43" i="1"/>
  <c r="E43" i="1"/>
  <c r="F42" i="1"/>
  <c r="E42" i="1"/>
  <c r="F41" i="1"/>
  <c r="E41" i="1"/>
  <c r="F40" i="1"/>
  <c r="E40" i="1"/>
  <c r="F39" i="1"/>
  <c r="E39" i="1"/>
  <c r="F38" i="1"/>
  <c r="E38" i="1"/>
  <c r="F37" i="1"/>
  <c r="E37" i="1"/>
  <c r="F36" i="1"/>
  <c r="E36" i="1"/>
  <c r="F35" i="1"/>
  <c r="E35" i="1"/>
  <c r="F34" i="1"/>
  <c r="E34" i="1"/>
  <c r="F33" i="1"/>
  <c r="E33" i="1"/>
  <c r="F32" i="1"/>
  <c r="E32" i="1"/>
  <c r="F31" i="1"/>
  <c r="E31" i="1"/>
  <c r="F30" i="1"/>
  <c r="E30" i="1"/>
  <c r="F29" i="1"/>
  <c r="E29" i="1"/>
  <c r="F28" i="1"/>
  <c r="E28" i="1"/>
  <c r="F27" i="1"/>
  <c r="E27" i="1"/>
  <c r="F26" i="1"/>
  <c r="E26" i="1"/>
  <c r="F25" i="1"/>
  <c r="E25" i="1"/>
  <c r="F24" i="1"/>
  <c r="E24" i="1"/>
  <c r="F23" i="1"/>
  <c r="E23" i="1"/>
  <c r="F22" i="1"/>
  <c r="E22" i="1"/>
  <c r="F21" i="1"/>
  <c r="E21" i="1"/>
  <c r="F20" i="1"/>
  <c r="E20" i="1"/>
  <c r="F19" i="1"/>
  <c r="E19" i="1"/>
  <c r="F18" i="1"/>
  <c r="E18" i="1"/>
  <c r="F17" i="1"/>
  <c r="E17" i="1"/>
  <c r="F16" i="1"/>
  <c r="E16" i="1"/>
  <c r="F15" i="1"/>
  <c r="E15" i="1"/>
  <c r="F14" i="1"/>
  <c r="E14" i="1"/>
  <c r="Q14" i="1" s="1"/>
  <c r="F13" i="1"/>
  <c r="E13" i="1"/>
  <c r="F12" i="1"/>
  <c r="E12" i="1"/>
  <c r="F11" i="1"/>
  <c r="E11" i="1"/>
  <c r="Q10" i="1"/>
  <c r="Q21" i="1" s="1"/>
  <c r="P10" i="1"/>
  <c r="O10" i="1"/>
  <c r="O21" i="1" s="1"/>
  <c r="N10" i="1"/>
  <c r="M10" i="1"/>
  <c r="L10" i="1"/>
  <c r="K10" i="1"/>
  <c r="J10" i="1"/>
  <c r="E7" i="1"/>
  <c r="B7" i="1"/>
  <c r="Q35" i="1" l="1"/>
  <c r="P35" i="1"/>
  <c r="O35" i="1"/>
  <c r="N35" i="1"/>
  <c r="M35" i="1"/>
  <c r="Q28" i="1"/>
  <c r="P28" i="1"/>
  <c r="O28" i="1"/>
  <c r="N28" i="1"/>
  <c r="Q54" i="1"/>
  <c r="J54" i="1"/>
  <c r="L54" i="1"/>
  <c r="K54" i="1"/>
  <c r="O54" i="1"/>
  <c r="M54" i="1"/>
  <c r="P54" i="1"/>
  <c r="N54" i="1"/>
  <c r="K53" i="1"/>
  <c r="L53" i="1"/>
  <c r="P53" i="1"/>
  <c r="J53" i="1"/>
  <c r="N53" i="1"/>
  <c r="M53" i="1"/>
  <c r="Q53" i="1"/>
  <c r="O53" i="1"/>
  <c r="Q52" i="1"/>
  <c r="P52" i="1"/>
  <c r="O52" i="1"/>
  <c r="N52" i="1"/>
  <c r="M52" i="1"/>
  <c r="J52" i="1"/>
  <c r="K52" i="1"/>
  <c r="L52" i="1"/>
  <c r="M51" i="1"/>
  <c r="N51" i="1"/>
  <c r="P51" i="1"/>
  <c r="Q51" i="1"/>
  <c r="O51" i="1"/>
  <c r="J51" i="1"/>
  <c r="K51" i="1"/>
  <c r="L51" i="1"/>
  <c r="K50" i="1"/>
  <c r="P50" i="1"/>
  <c r="O50" i="1"/>
  <c r="N50" i="1"/>
  <c r="L50" i="1"/>
  <c r="M50" i="1"/>
  <c r="Q50" i="1"/>
  <c r="J50" i="1"/>
  <c r="P49" i="1"/>
  <c r="O49" i="1"/>
  <c r="Q49" i="1"/>
  <c r="N49" i="1"/>
  <c r="M49" i="1"/>
  <c r="J49" i="1"/>
  <c r="K49" i="1"/>
  <c r="L49" i="1"/>
  <c r="M48" i="1"/>
  <c r="N48" i="1"/>
  <c r="L48" i="1"/>
  <c r="K48" i="1"/>
  <c r="J48" i="1"/>
  <c r="Q48" i="1"/>
  <c r="P48" i="1"/>
  <c r="O48" i="1"/>
  <c r="K47" i="1"/>
  <c r="Q47" i="1"/>
  <c r="O47" i="1"/>
  <c r="N47" i="1"/>
  <c r="J47" i="1"/>
  <c r="L47" i="1"/>
  <c r="M47" i="1"/>
  <c r="P47" i="1"/>
  <c r="P46" i="1"/>
  <c r="O46" i="1"/>
  <c r="N46" i="1"/>
  <c r="M46" i="1"/>
  <c r="L46" i="1"/>
  <c r="K46" i="1"/>
  <c r="J46" i="1"/>
  <c r="Q46" i="1"/>
  <c r="J45" i="1"/>
  <c r="K45" i="1"/>
  <c r="L45" i="1"/>
  <c r="M45" i="1"/>
  <c r="O45" i="1"/>
  <c r="N45" i="1"/>
  <c r="Q45" i="1"/>
  <c r="P45" i="1"/>
  <c r="O44" i="1"/>
  <c r="N44" i="1"/>
  <c r="K44" i="1"/>
  <c r="J44" i="1"/>
  <c r="M44" i="1"/>
  <c r="P44" i="1"/>
  <c r="L44" i="1"/>
  <c r="Q44" i="1"/>
  <c r="O43" i="1"/>
  <c r="N43" i="1"/>
  <c r="M43" i="1"/>
  <c r="K43" i="1"/>
  <c r="L43" i="1"/>
  <c r="J43" i="1"/>
  <c r="Q43" i="1"/>
  <c r="P43" i="1"/>
  <c r="M42" i="1"/>
  <c r="Q42" i="1"/>
  <c r="J42" i="1"/>
  <c r="L42" i="1"/>
  <c r="N42" i="1"/>
  <c r="P42" i="1"/>
  <c r="O42" i="1"/>
  <c r="K42" i="1"/>
  <c r="J41" i="1"/>
  <c r="O41" i="1"/>
  <c r="K41" i="1"/>
  <c r="M41" i="1"/>
  <c r="N41" i="1"/>
  <c r="L41" i="1"/>
  <c r="Q41" i="1"/>
  <c r="P41" i="1"/>
  <c r="P40" i="1"/>
  <c r="K40" i="1"/>
  <c r="O40" i="1"/>
  <c r="Q40" i="1"/>
  <c r="M40" i="1"/>
  <c r="J40" i="1"/>
  <c r="L40" i="1"/>
  <c r="N40" i="1"/>
  <c r="K39" i="1"/>
  <c r="M39" i="1"/>
  <c r="P39" i="1"/>
  <c r="O39" i="1"/>
  <c r="N39" i="1"/>
  <c r="J39" i="1"/>
  <c r="Q39" i="1"/>
  <c r="Q38" i="1"/>
  <c r="K38" i="1"/>
  <c r="M38" i="1"/>
  <c r="P38" i="1"/>
  <c r="O38" i="1"/>
  <c r="J38" i="1"/>
  <c r="L38" i="1"/>
  <c r="N38" i="1"/>
  <c r="M37" i="1"/>
  <c r="J37" i="1"/>
  <c r="L37" i="1"/>
  <c r="Q37" i="1"/>
  <c r="P37" i="1"/>
  <c r="O37" i="1"/>
  <c r="N37" i="1"/>
  <c r="K37" i="1"/>
  <c r="M36" i="1"/>
  <c r="K36" i="1"/>
  <c r="J36" i="1"/>
  <c r="N36" i="1"/>
  <c r="O36" i="1"/>
  <c r="L36" i="1"/>
  <c r="P36" i="1"/>
  <c r="Q36" i="1"/>
  <c r="J35" i="1"/>
  <c r="K35" i="1"/>
  <c r="L35" i="1"/>
  <c r="J34" i="1"/>
  <c r="K34" i="1"/>
  <c r="L34" i="1"/>
  <c r="M34" i="1"/>
  <c r="N34" i="1"/>
  <c r="O34" i="1"/>
  <c r="P34" i="1"/>
  <c r="Q34" i="1"/>
  <c r="M33" i="1"/>
  <c r="N33" i="1"/>
  <c r="P33" i="1"/>
  <c r="J33" i="1"/>
  <c r="O33" i="1"/>
  <c r="K33" i="1"/>
  <c r="L33" i="1"/>
  <c r="Q33" i="1"/>
  <c r="K32" i="1"/>
  <c r="L32" i="1"/>
  <c r="M32" i="1"/>
  <c r="N32" i="1"/>
  <c r="O32" i="1"/>
  <c r="P32" i="1"/>
  <c r="Q32" i="1"/>
  <c r="J32" i="1"/>
  <c r="O31" i="1"/>
  <c r="N31" i="1"/>
  <c r="M31" i="1"/>
  <c r="L31" i="1"/>
  <c r="J31" i="1"/>
  <c r="K31" i="1"/>
  <c r="Q31" i="1"/>
  <c r="P31" i="1"/>
  <c r="L30" i="1"/>
  <c r="M30" i="1"/>
  <c r="N30" i="1"/>
  <c r="O30" i="1"/>
  <c r="P30" i="1"/>
  <c r="Q30" i="1"/>
  <c r="J30" i="1"/>
  <c r="K30" i="1"/>
  <c r="L29" i="1"/>
  <c r="J29" i="1"/>
  <c r="K29" i="1"/>
  <c r="Q29" i="1"/>
  <c r="P29" i="1"/>
  <c r="O29" i="1"/>
  <c r="N29" i="1"/>
  <c r="M29" i="1"/>
  <c r="L28" i="1"/>
  <c r="M28" i="1"/>
  <c r="J28" i="1"/>
  <c r="K28" i="1"/>
  <c r="J27" i="1"/>
  <c r="Q27" i="1"/>
  <c r="P27" i="1"/>
  <c r="O27" i="1"/>
  <c r="N27" i="1"/>
  <c r="M27" i="1"/>
  <c r="L27" i="1"/>
  <c r="K27" i="1"/>
  <c r="Q26" i="1"/>
  <c r="P26" i="1"/>
  <c r="O26" i="1"/>
  <c r="N26" i="1"/>
  <c r="M26" i="1"/>
  <c r="K26" i="1"/>
  <c r="J26" i="1"/>
  <c r="L26" i="1"/>
  <c r="N25" i="1"/>
  <c r="Q25" i="1"/>
  <c r="P25" i="1"/>
  <c r="O25" i="1"/>
  <c r="M25" i="1"/>
  <c r="L25" i="1"/>
  <c r="J25" i="1"/>
  <c r="K25" i="1"/>
  <c r="P24" i="1"/>
  <c r="Q24" i="1"/>
  <c r="M24" i="1"/>
  <c r="N24" i="1"/>
  <c r="O24" i="1"/>
  <c r="L24" i="1"/>
  <c r="J24" i="1"/>
  <c r="K24" i="1"/>
  <c r="Q23" i="1"/>
  <c r="J23" i="1"/>
  <c r="K23" i="1"/>
  <c r="L23" i="1"/>
  <c r="M23" i="1"/>
  <c r="N23" i="1"/>
  <c r="O23" i="1"/>
  <c r="P23" i="1"/>
  <c r="O22" i="1"/>
  <c r="P22" i="1"/>
  <c r="Q22" i="1"/>
  <c r="N22" i="1"/>
  <c r="M22" i="1"/>
  <c r="L22" i="1"/>
  <c r="K22" i="1"/>
  <c r="J22" i="1"/>
  <c r="N21" i="1"/>
  <c r="J21" i="1"/>
  <c r="K21" i="1"/>
  <c r="L21" i="1"/>
  <c r="M21" i="1"/>
  <c r="O20" i="1"/>
  <c r="J20" i="1"/>
  <c r="Q20" i="1"/>
  <c r="P20" i="1"/>
  <c r="K20" i="1"/>
  <c r="L20" i="1"/>
  <c r="M20" i="1"/>
  <c r="N20" i="1"/>
  <c r="K19" i="1"/>
  <c r="L19" i="1"/>
  <c r="M19" i="1"/>
  <c r="N19" i="1"/>
  <c r="O19" i="1"/>
  <c r="Q19" i="1"/>
  <c r="J19" i="1"/>
  <c r="P19" i="1"/>
  <c r="P18" i="1"/>
  <c r="O18" i="1"/>
  <c r="N18" i="1"/>
  <c r="J18" i="1"/>
  <c r="M18" i="1"/>
  <c r="L18" i="1"/>
  <c r="K18" i="1"/>
  <c r="Q18" i="1"/>
  <c r="N17" i="1"/>
  <c r="L17" i="1"/>
  <c r="J17" i="1"/>
  <c r="Q17" i="1"/>
  <c r="K17" i="1"/>
  <c r="M17" i="1"/>
  <c r="O17" i="1"/>
  <c r="P17" i="1"/>
  <c r="J16" i="1"/>
  <c r="L16" i="1"/>
  <c r="Q16" i="1"/>
  <c r="N16" i="1"/>
  <c r="P16" i="1"/>
  <c r="M16" i="1"/>
  <c r="O16" i="1"/>
  <c r="K16" i="1"/>
  <c r="P15" i="1"/>
  <c r="L15" i="1"/>
  <c r="N15" i="1"/>
  <c r="J15" i="1"/>
  <c r="Q15" i="1"/>
  <c r="O15" i="1"/>
  <c r="M15" i="1"/>
  <c r="K15" i="1"/>
  <c r="K14" i="1"/>
  <c r="P14" i="1"/>
  <c r="J14" i="1"/>
  <c r="L14" i="1"/>
  <c r="M14" i="1"/>
  <c r="N14" i="1"/>
  <c r="O14" i="1"/>
  <c r="P13" i="1"/>
  <c r="Q13" i="1"/>
  <c r="O13" i="1"/>
  <c r="N13" i="1"/>
  <c r="M13" i="1"/>
  <c r="L13" i="1"/>
  <c r="K13" i="1"/>
  <c r="J13" i="1"/>
  <c r="N12" i="1"/>
  <c r="Q12" i="1"/>
  <c r="P12" i="1"/>
  <c r="O12" i="1"/>
  <c r="M12" i="1"/>
  <c r="L12" i="1"/>
  <c r="K12" i="1"/>
  <c r="J12" i="1"/>
  <c r="K11" i="1"/>
  <c r="O11" i="1"/>
  <c r="J11" i="1"/>
  <c r="L11" i="1"/>
  <c r="M11" i="1"/>
  <c r="N11" i="1"/>
  <c r="Q11" i="1"/>
  <c r="P11" i="1"/>
  <c r="P21" i="1"/>
</calcChain>
</file>

<file path=xl/sharedStrings.xml><?xml version="1.0" encoding="utf-8"?>
<sst xmlns="http://schemas.openxmlformats.org/spreadsheetml/2006/main" count="195" uniqueCount="119">
  <si>
    <t>Hookset project Gantt chart</t>
  </si>
  <si>
    <t>Progress as of October 1, 2026. Historical weeks reconstructed from project discussions; testing dates are proposed.</t>
  </si>
  <si>
    <t>Edit Start date and % complete. End dates, status, weekly bars, and overall progress update automatically. Enter percentages as 50%.</t>
  </si>
  <si>
    <t>Every task is scheduled for one Monday–Sunday week. Parallel rows share a week. Descriptions are optional editable text.</t>
  </si>
  <si>
    <t>Scope: entities, repositories, services, controllers, pages, styling, and testing. Importers and API calls excluded.</t>
  </si>
  <si>
    <t>Overall task completion</t>
  </si>
  <si>
    <t>Completed tasks</t>
  </si>
  <si>
    <t>Done: 100%</t>
  </si>
  <si>
    <t>Started: 1–99%</t>
  </si>
  <si>
    <t>Not finished: 0%</t>
  </si>
  <si>
    <t>Task</t>
  </si>
  <si>
    <t>Area</t>
  </si>
  <si>
    <t>Length (weeks)</t>
  </si>
  <si>
    <t>Start date</t>
  </si>
  <si>
    <t>End date</t>
  </si>
  <si>
    <t>Status</t>
  </si>
  <si>
    <t>% complete</t>
  </si>
  <si>
    <t>Description (optional)</t>
  </si>
  <si>
    <t>Progress basis</t>
  </si>
  <si>
    <t>User entity</t>
  </si>
  <si>
    <t>Entities</t>
  </si>
  <si>
    <t>Map Users with a Long primary key, username, password hash, and administrator flag.</t>
  </si>
  <si>
    <t>Fly and material entities</t>
  </si>
  <si>
    <t>Define fly, material, and size fields to match the MySQL tables.</t>
  </si>
  <si>
    <t>Fish entity</t>
  </si>
  <si>
    <t>Water-body entity</t>
  </si>
  <si>
    <t>Map water-body IDs and names to the database.</t>
  </si>
  <si>
    <t>Long IDs and foreign keys</t>
  </si>
  <si>
    <t>Update primary keys to BIGINT and Java Long and keep related foreign keys consistent.</t>
  </si>
  <si>
    <t>User repositories</t>
  </si>
  <si>
    <t>Repositories</t>
  </si>
  <si>
    <t>Provide username lookup for signup and authentication.</t>
  </si>
  <si>
    <t>Fish and water-body repositories</t>
  </si>
  <si>
    <t>Add JPA repositories for retrieving fish and water bodies.</t>
  </si>
  <si>
    <t>Signup form and validation</t>
  </si>
  <si>
    <t>Services</t>
  </si>
  <si>
    <t>Collect username, password, and confirmation and reject invalid or duplicate signup requests.</t>
  </si>
  <si>
    <t>Signup service</t>
  </si>
  <si>
    <t>Create the user account and encode the password with BCrypt.</t>
  </si>
  <si>
    <t>Login service and user details</t>
  </si>
  <si>
    <t>Security configuration</t>
  </si>
  <si>
    <t>Security</t>
  </si>
  <si>
    <t>Session management</t>
  </si>
  <si>
    <t>Configure IF_REQUIRED sessions for authenticated users.</t>
  </si>
  <si>
    <t>Home controller</t>
  </si>
  <si>
    <t>Controllers</t>
  </si>
  <si>
    <t>Route GET / to the home page.</t>
  </si>
  <si>
    <t>Login controller</t>
  </si>
  <si>
    <t>Render the custom login page and supply its form model.</t>
  </si>
  <si>
    <t>Signup controller</t>
  </si>
  <si>
    <t>Handle GET and POST signup, display validation errors, and redirect successful signup to login.</t>
  </si>
  <si>
    <t>Shared Thymeleaf layout</t>
  </si>
  <si>
    <t>Pages</t>
  </si>
  <si>
    <t>Create reusable title and content fragments with a common header and footer.</t>
  </si>
  <si>
    <t>Home page</t>
  </si>
  <si>
    <t>Create the initial Hookset landing page within the shared layout.</t>
  </si>
  <si>
    <t>Login page</t>
  </si>
  <si>
    <t>Build the login form, card layout, and authentication alerts.</t>
  </si>
  <si>
    <t>Signup page</t>
  </si>
  <si>
    <t>Build signup fields, validation messages, and success feedback.</t>
  </si>
  <si>
    <t>Bootstrap and Hookset theme</t>
  </si>
  <si>
    <t>Styling</t>
  </si>
  <si>
    <t>Add Bootstrap, green/sage/cream/gold colors, custom buttons, and the site stylesheet.</t>
  </si>
  <si>
    <t>Navigation and logo</t>
  </si>
  <si>
    <t>Style the header, align navigation links, and use the transparent Hookset logo.</t>
  </si>
  <si>
    <t>Water-body detail fields</t>
  </si>
  <si>
    <t>Add type, state, description, and slug fields for water-body detail pages.</t>
  </si>
  <si>
    <t>Water-body DTO and mapper</t>
  </si>
  <si>
    <t>Transfer water-body display fields between the entity and DTO, including descriptions and slugs.</t>
  </si>
  <si>
    <t>Water-body and fish display services</t>
  </si>
  <si>
    <t>Retrieve waters and their associated fish for page display through service interfaces.</t>
  </si>
  <si>
    <t>Water-body list and detail routes</t>
  </si>
  <si>
    <t>Supply the list model and retrieve a selected water body for its detail page.</t>
  </si>
  <si>
    <t>Water-body list page</t>
  </si>
  <si>
    <t>Display available waters as cards with links to their detail pages.</t>
  </si>
  <si>
    <t>Water-body detail page</t>
  </si>
  <si>
    <t>Display the name, state, description, and related fish.</t>
  </si>
  <si>
    <t>Water-type illustrations</t>
  </si>
  <si>
    <t>Prepare river, lake, and stream images for the water-body interface.</t>
  </si>
  <si>
    <t>Card and detail-page polish</t>
  </si>
  <si>
    <t>Finish centered buttons, description widths, card alignment, and responsive spacing. Progress estimate; adjust as needed.</t>
  </si>
  <si>
    <t>User and authentication models</t>
  </si>
  <si>
    <t>Unit testing</t>
  </si>
  <si>
    <t>Test User and HooksetUserDetails fields and USER/ADMIN authority behavior.</t>
  </si>
  <si>
    <t>Planned</t>
  </si>
  <si>
    <t>Fish and water-body models</t>
  </si>
  <si>
    <t>Test DTO/entity fields, Long IDs, descriptions, and slugs.</t>
  </si>
  <si>
    <t>DTO mappers</t>
  </si>
  <si>
    <t>Verify every mapped field and null handling for fish and water-body conversions.</t>
  </si>
  <si>
    <t>Test found and missing usernames, password-hash handoff, and administrator roles.</t>
  </si>
  <si>
    <t>Water-body and fish services</t>
  </si>
  <si>
    <t>Home and login controllers</t>
  </si>
  <si>
    <t>Use controller-slice tests to verify routes, template names, and form model attributes.</t>
  </si>
  <si>
    <t>Test valid and invalid form submissions, duplicate feedback, redirects, and flash messages.</t>
  </si>
  <si>
    <t>Water-body controllers</t>
  </si>
  <si>
    <t>Test list/detail models, slug routing, missing waters, and response behavior.</t>
  </si>
  <si>
    <t>Login, logout, and sessions</t>
  </si>
  <si>
    <t>Security testing</t>
  </si>
  <si>
    <t>JPA repositories and mappings</t>
  </si>
  <si>
    <t>Repository testing</t>
  </si>
  <si>
    <t>Use repository integration tests for username lookups, persistence mappings, Long IDs, and fish/water associations.</t>
  </si>
  <si>
    <t>Thymeleaf forms and layout</t>
  </si>
  <si>
    <t>Page testing</t>
  </si>
  <si>
    <t>Verify rendered layout, login/signup errors, success alerts, form actions, and navigation links. Rendering tests supplement units.</t>
  </si>
  <si>
    <t>Water-body pages</t>
  </si>
  <si>
    <t>Verify rendered list/detail content, images, descriptions, fish display, and links.</t>
  </si>
  <si>
    <t>Responsive styling</t>
  </si>
  <si>
    <t>UI testing</t>
  </si>
  <si>
    <t>Check cards, buttons, image sizing, text widths, and header/footer at mobile and desktop widths. Visual checks supplement units.</t>
  </si>
  <si>
    <t>Fix failures and rerun suite</t>
  </si>
  <si>
    <t>Testing</t>
  </si>
  <si>
    <t>Resolve test failures and run the complete scoped test suite before final review.</t>
  </si>
  <si>
    <t>Complete</t>
  </si>
  <si>
    <t>Map fish ID, Family, and species.</t>
  </si>
  <si>
    <t xml:space="preserve">Load users for Spring Security </t>
  </si>
  <si>
    <t>Configure public routes, protected routes, custom form login</t>
  </si>
  <si>
    <t>Test successful creation, duplicate usernames, and invalid inputs.</t>
  </si>
  <si>
    <t>Test list retrieval, selected-water retrieval, related fish, and missing results.</t>
  </si>
  <si>
    <t>Test public/protected routes, authentication success/failure, roles, and session/logout behavior. Use Spring test support.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</si>
</sst>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\ d"/>
    <numFmt numFmtId="165" formatCode="&quot;to &quot;mmm\ d"/>
    <numFmt numFmtId="166" formatCode="mm/dd/yy"/>
  </numFmts>
  <fonts count="5">
    <font>
      <sz val="11"/>
      <name val="Carlito"/>
    </font>
    <font>
      <sz val="10"/>
      <color rgb="FF25382F"/>
      <name val="Arial"/>
      <family val="2"/>
    </font>
    <font>
      <b/>
      <sz val="16"/>
      <color rgb="FF24533E"/>
      <name val="Arial"/>
      <family val="2"/>
    </font>
    <font>
      <b/>
      <sz val="10"/>
      <color rgb="FFFFFFFF"/>
      <name val="Arial"/>
      <family val="2"/>
    </font>
    <font>
      <sz val="10"/>
      <color rgb="FF2464A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8BC999"/>
      </patternFill>
    </fill>
    <fill>
      <patternFill patternType="solid">
        <fgColor rgb="FFF4D776"/>
      </patternFill>
    </fill>
    <fill>
      <patternFill patternType="solid">
        <fgColor rgb="FFEAA19B"/>
      </patternFill>
    </fill>
    <fill>
      <patternFill patternType="solid">
        <fgColor rgb="FFF2F5F0"/>
      </patternFill>
    </fill>
    <fill>
      <patternFill patternType="solid">
        <fgColor rgb="FF24533E"/>
      </patternFill>
    </fill>
    <fill>
      <patternFill patternType="solid">
        <fgColor rgb="FF3A6C5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9" fontId="1" fillId="0" borderId="0" xfId="0" applyNumberFormat="1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3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" fillId="6" borderId="0" xfId="0" applyFont="1" applyFill="1" applyAlignment="1">
      <alignment horizontal="center" vertical="center" wrapText="1"/>
    </xf>
    <xf numFmtId="165" fontId="3" fillId="6" borderId="0" xfId="0" applyNumberFormat="1" applyFont="1" applyFill="1" applyAlignment="1">
      <alignment horizontal="center" vertical="center" wrapText="1"/>
    </xf>
    <xf numFmtId="164" fontId="3" fillId="7" borderId="0" xfId="0" applyNumberFormat="1" applyFont="1" applyFill="1" applyAlignment="1">
      <alignment horizontal="center" vertical="center"/>
    </xf>
    <xf numFmtId="0" fontId="1" fillId="5" borderId="0" xfId="0" applyFont="1" applyFill="1" applyAlignment="1">
      <alignment vertical="center" wrapText="1"/>
    </xf>
    <xf numFmtId="0" fontId="1" fillId="0" borderId="0" xfId="0" applyFont="1" applyAlignment="1">
      <alignment vertical="center" wrapText="1"/>
    </xf>
    <xf numFmtId="0" fontId="1" fillId="5" borderId="0" xfId="0" applyFont="1" applyFill="1" applyAlignment="1">
      <alignment horizontal="center" vertical="center"/>
    </xf>
    <xf numFmtId="166" fontId="1" fillId="5" borderId="0" xfId="0" applyNumberFormat="1" applyFont="1" applyFill="1" applyAlignment="1">
      <alignment horizontal="center" vertical="center"/>
    </xf>
    <xf numFmtId="9" fontId="1" fillId="5" borderId="0" xfId="0" applyNumberFormat="1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166" fontId="1" fillId="0" borderId="0" xfId="0" applyNumberFormat="1" applyFont="1" applyAlignment="1">
      <alignment horizontal="center" vertical="center"/>
    </xf>
    <xf numFmtId="9" fontId="1" fillId="0" borderId="0" xfId="0" applyNumberFormat="1" applyFont="1" applyAlignment="1">
      <alignment horizontal="center" vertical="center"/>
    </xf>
    <xf numFmtId="166" fontId="4" fillId="5" borderId="0" xfId="0" applyNumberFormat="1" applyFont="1" applyFill="1" applyAlignment="1">
      <alignment horizontal="center" vertical="center"/>
    </xf>
    <xf numFmtId="166" fontId="4" fillId="0" borderId="0" xfId="0" applyNumberFormat="1" applyFont="1" applyAlignment="1">
      <alignment horizontal="center" vertical="center"/>
    </xf>
    <xf numFmtId="9" fontId="4" fillId="5" borderId="0" xfId="0" applyNumberFormat="1" applyFont="1" applyFill="1" applyAlignment="1">
      <alignment horizontal="center" vertical="center"/>
    </xf>
    <xf numFmtId="9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3">
    <dxf>
      <font>
        <color rgb="FF6E241E"/>
      </font>
      <fill>
        <patternFill patternType="solid">
          <bgColor rgb="FFEAA19B"/>
        </patternFill>
      </fill>
    </dxf>
    <dxf>
      <font>
        <color rgb="FF574400"/>
      </font>
      <fill>
        <patternFill patternType="solid">
          <bgColor rgb="FFF4D776"/>
        </patternFill>
      </fill>
    </dxf>
    <dxf>
      <font>
        <color rgb="FF183D26"/>
      </font>
      <fill>
        <patternFill patternType="solid">
          <bgColor rgb="FF8BC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533E"/>
  </sheetPr>
  <dimension ref="A1:Q54"/>
  <sheetViews>
    <sheetView showGridLines="0" tabSelected="1" zoomScale="69" workbookViewId="0">
      <pane xSplit="1" ySplit="10" topLeftCell="E11" activePane="bottomRight" state="frozen"/>
      <selection pane="topRight"/>
      <selection pane="bottomLeft"/>
      <selection pane="bottomRight" activeCell="H8" sqref="H8"/>
    </sheetView>
  </sheetViews>
  <sheetFormatPr defaultRowHeight="14.25"/>
  <cols>
    <col min="1" max="1" width="74.95703125" customWidth="1"/>
    <col min="2" max="2" width="18" customWidth="1"/>
    <col min="3" max="3" width="12" customWidth="1"/>
    <col min="4" max="5" width="13" customWidth="1"/>
    <col min="6" max="6" width="15" customWidth="1"/>
    <col min="7" max="7" width="12" customWidth="1"/>
    <col min="8" max="8" width="64" customWidth="1"/>
    <col min="9" max="11" width="16" customWidth="1"/>
    <col min="12" max="12" width="17" customWidth="1"/>
    <col min="13" max="17" width="16" customWidth="1"/>
  </cols>
  <sheetData>
    <row r="1" spans="1:17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ht="20.5">
      <c r="A2" s="2" t="s">
        <v>0</v>
      </c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>
      <c r="A3" s="1" t="s">
        <v>1</v>
      </c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>
      <c r="A4" s="1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>
      <c r="A5" s="1" t="s">
        <v>3</v>
      </c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>
      <c r="A6" s="1" t="s">
        <v>4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>
      <c r="A7" s="1" t="s">
        <v>5</v>
      </c>
      <c r="B7" s="3">
        <f>AVERAGE(G11:G54)</f>
        <v>0.65340909090909094</v>
      </c>
      <c r="C7" s="1"/>
      <c r="D7" s="1" t="s">
        <v>6</v>
      </c>
      <c r="E7" s="1">
        <f>COUNTIFS(G11:G54,1)</f>
        <v>28</v>
      </c>
      <c r="F7" s="1"/>
      <c r="G7" s="1"/>
      <c r="H7" s="1"/>
      <c r="I7" s="1"/>
      <c r="J7" s="4" t="s">
        <v>7</v>
      </c>
      <c r="K7" s="5" t="s">
        <v>8</v>
      </c>
      <c r="L7" s="6" t="s">
        <v>9</v>
      </c>
      <c r="M7" s="1"/>
      <c r="N7" s="1"/>
      <c r="O7" s="1"/>
      <c r="P7" s="1"/>
      <c r="Q7" s="1"/>
    </row>
    <row r="8" spans="1:17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24" customHeight="1">
      <c r="A9" s="1"/>
      <c r="B9" s="1"/>
      <c r="C9" s="1"/>
      <c r="D9" s="1"/>
      <c r="E9" s="1"/>
      <c r="F9" s="1"/>
      <c r="G9" s="1"/>
      <c r="H9" s="1"/>
      <c r="I9" s="1"/>
      <c r="J9" s="9">
        <v>46279</v>
      </c>
      <c r="K9" s="9">
        <v>46286</v>
      </c>
      <c r="L9" s="9">
        <v>46293</v>
      </c>
      <c r="M9" s="9">
        <v>46300</v>
      </c>
      <c r="N9" s="9">
        <v>46307</v>
      </c>
      <c r="O9" s="9">
        <v>46314</v>
      </c>
      <c r="P9" s="9">
        <v>46321</v>
      </c>
      <c r="Q9" s="9">
        <v>46328</v>
      </c>
    </row>
    <row r="10" spans="1:17" ht="32" customHeight="1">
      <c r="A10" s="7" t="s">
        <v>10</v>
      </c>
      <c r="B10" s="7" t="s">
        <v>11</v>
      </c>
      <c r="C10" s="7" t="s">
        <v>12</v>
      </c>
      <c r="D10" s="7" t="s">
        <v>13</v>
      </c>
      <c r="E10" s="7" t="s">
        <v>14</v>
      </c>
      <c r="F10" s="7" t="s">
        <v>15</v>
      </c>
      <c r="G10" s="7" t="s">
        <v>16</v>
      </c>
      <c r="H10" s="7" t="s">
        <v>17</v>
      </c>
      <c r="I10" s="7" t="s">
        <v>18</v>
      </c>
      <c r="J10" s="8">
        <f t="shared" ref="J10:Q10" si="0">J9+6</f>
        <v>46285</v>
      </c>
      <c r="K10" s="8">
        <f t="shared" si="0"/>
        <v>46292</v>
      </c>
      <c r="L10" s="8">
        <f t="shared" si="0"/>
        <v>46299</v>
      </c>
      <c r="M10" s="8">
        <f t="shared" si="0"/>
        <v>46306</v>
      </c>
      <c r="N10" s="8">
        <f t="shared" si="0"/>
        <v>46313</v>
      </c>
      <c r="O10" s="8">
        <f t="shared" si="0"/>
        <v>46320</v>
      </c>
      <c r="P10" s="8">
        <f t="shared" si="0"/>
        <v>46327</v>
      </c>
      <c r="Q10" s="8">
        <f t="shared" si="0"/>
        <v>46334</v>
      </c>
    </row>
    <row r="11" spans="1:17" ht="58" customHeight="1">
      <c r="A11" s="10" t="s">
        <v>19</v>
      </c>
      <c r="B11" s="10" t="s">
        <v>20</v>
      </c>
      <c r="C11" s="12">
        <v>1</v>
      </c>
      <c r="D11" s="18">
        <v>46279</v>
      </c>
      <c r="E11" s="13">
        <f t="shared" ref="E11:E54" si="1">D11+7*C11-1</f>
        <v>46285</v>
      </c>
      <c r="F11" s="12" t="str">
        <f t="shared" ref="F11:F54" si="2">IF(ISNUMBER(G11),IF(G11=1,"Done",IF(G11&gt;0,"Started","Not finished")),"Set %")</f>
        <v>Done</v>
      </c>
      <c r="G11" s="20">
        <v>1</v>
      </c>
      <c r="H11" s="10" t="s">
        <v>21</v>
      </c>
      <c r="I11" s="10" t="s">
        <v>112</v>
      </c>
      <c r="J11" s="14">
        <f t="shared" ref="J11:Q20" si="3">IF(AND(J$9&lt;=$E11,J$10&gt;=$D11),IF(ISNUMBER($G11),$G11,"?"),"")</f>
        <v>1</v>
      </c>
      <c r="K11" s="14" t="str">
        <f t="shared" si="3"/>
        <v/>
      </c>
      <c r="L11" s="14" t="str">
        <f t="shared" si="3"/>
        <v/>
      </c>
      <c r="M11" s="14" t="str">
        <f t="shared" si="3"/>
        <v/>
      </c>
      <c r="N11" s="14" t="str">
        <f t="shared" si="3"/>
        <v/>
      </c>
      <c r="O11" s="14" t="str">
        <f t="shared" si="3"/>
        <v/>
      </c>
      <c r="P11" s="14" t="str">
        <f t="shared" si="3"/>
        <v/>
      </c>
      <c r="Q11" s="14" t="str">
        <f t="shared" si="3"/>
        <v/>
      </c>
    </row>
    <row r="12" spans="1:17" ht="58" customHeight="1">
      <c r="A12" s="11" t="s">
        <v>22</v>
      </c>
      <c r="B12" s="11" t="s">
        <v>20</v>
      </c>
      <c r="C12" s="15">
        <v>1</v>
      </c>
      <c r="D12" s="19">
        <v>46279</v>
      </c>
      <c r="E12" s="16">
        <f t="shared" si="1"/>
        <v>46285</v>
      </c>
      <c r="F12" s="15" t="str">
        <f t="shared" si="2"/>
        <v>Done</v>
      </c>
      <c r="G12" s="21">
        <v>1</v>
      </c>
      <c r="H12" s="11" t="s">
        <v>23</v>
      </c>
      <c r="I12" s="10" t="s">
        <v>112</v>
      </c>
      <c r="J12" s="17">
        <f t="shared" si="3"/>
        <v>1</v>
      </c>
      <c r="K12" s="17" t="str">
        <f t="shared" si="3"/>
        <v/>
      </c>
      <c r="L12" s="17" t="str">
        <f t="shared" si="3"/>
        <v/>
      </c>
      <c r="M12" s="17" t="str">
        <f t="shared" si="3"/>
        <v/>
      </c>
      <c r="N12" s="17" t="str">
        <f t="shared" si="3"/>
        <v/>
      </c>
      <c r="O12" s="17" t="str">
        <f t="shared" si="3"/>
        <v/>
      </c>
      <c r="P12" s="17" t="str">
        <f t="shared" si="3"/>
        <v/>
      </c>
      <c r="Q12" s="17" t="str">
        <f t="shared" si="3"/>
        <v/>
      </c>
    </row>
    <row r="13" spans="1:17" ht="58" customHeight="1">
      <c r="A13" s="10" t="s">
        <v>24</v>
      </c>
      <c r="B13" s="10" t="s">
        <v>20</v>
      </c>
      <c r="C13" s="12">
        <v>1</v>
      </c>
      <c r="D13" s="18">
        <v>46279</v>
      </c>
      <c r="E13" s="13">
        <f t="shared" si="1"/>
        <v>46285</v>
      </c>
      <c r="F13" s="12" t="str">
        <f t="shared" si="2"/>
        <v>Done</v>
      </c>
      <c r="G13" s="20">
        <v>1</v>
      </c>
      <c r="H13" s="10" t="s">
        <v>113</v>
      </c>
      <c r="I13" s="10" t="s">
        <v>112</v>
      </c>
      <c r="J13" s="14">
        <f t="shared" si="3"/>
        <v>1</v>
      </c>
      <c r="K13" s="14" t="str">
        <f t="shared" si="3"/>
        <v/>
      </c>
      <c r="L13" s="14" t="str">
        <f t="shared" si="3"/>
        <v/>
      </c>
      <c r="M13" s="14" t="str">
        <f t="shared" si="3"/>
        <v/>
      </c>
      <c r="N13" s="14" t="str">
        <f t="shared" si="3"/>
        <v/>
      </c>
      <c r="O13" s="14" t="str">
        <f t="shared" si="3"/>
        <v/>
      </c>
      <c r="P13" s="14" t="str">
        <f t="shared" si="3"/>
        <v/>
      </c>
      <c r="Q13" s="14" t="str">
        <f t="shared" si="3"/>
        <v/>
      </c>
    </row>
    <row r="14" spans="1:17" ht="58" customHeight="1">
      <c r="A14" s="11" t="s">
        <v>25</v>
      </c>
      <c r="B14" s="11" t="s">
        <v>20</v>
      </c>
      <c r="C14" s="15">
        <v>1</v>
      </c>
      <c r="D14" s="19">
        <v>46279</v>
      </c>
      <c r="E14" s="16">
        <f t="shared" si="1"/>
        <v>46285</v>
      </c>
      <c r="F14" s="15" t="str">
        <f t="shared" si="2"/>
        <v>Done</v>
      </c>
      <c r="G14" s="21">
        <v>1</v>
      </c>
      <c r="H14" s="11" t="s">
        <v>26</v>
      </c>
      <c r="I14" s="10" t="s">
        <v>112</v>
      </c>
      <c r="J14" s="17">
        <f t="shared" si="3"/>
        <v>1</v>
      </c>
      <c r="K14" s="17" t="str">
        <f t="shared" si="3"/>
        <v/>
      </c>
      <c r="L14" s="17" t="str">
        <f t="shared" si="3"/>
        <v/>
      </c>
      <c r="M14" s="17" t="str">
        <f t="shared" si="3"/>
        <v/>
      </c>
      <c r="N14" s="17" t="str">
        <f t="shared" si="3"/>
        <v/>
      </c>
      <c r="O14" s="17" t="str">
        <f t="shared" si="3"/>
        <v/>
      </c>
      <c r="P14" s="17" t="str">
        <f t="shared" si="3"/>
        <v/>
      </c>
      <c r="Q14" s="17" t="str">
        <f t="shared" si="3"/>
        <v/>
      </c>
    </row>
    <row r="15" spans="1:17" ht="58" customHeight="1">
      <c r="A15" s="10" t="s">
        <v>27</v>
      </c>
      <c r="B15" s="10" t="s">
        <v>20</v>
      </c>
      <c r="C15" s="12">
        <v>1</v>
      </c>
      <c r="D15" s="18">
        <v>46279</v>
      </c>
      <c r="E15" s="13">
        <f t="shared" si="1"/>
        <v>46285</v>
      </c>
      <c r="F15" s="12" t="str">
        <f t="shared" si="2"/>
        <v>Done</v>
      </c>
      <c r="G15" s="20">
        <v>1</v>
      </c>
      <c r="H15" s="10" t="s">
        <v>28</v>
      </c>
      <c r="I15" s="10" t="s">
        <v>112</v>
      </c>
      <c r="J15" s="14">
        <f t="shared" si="3"/>
        <v>1</v>
      </c>
      <c r="K15" s="14" t="str">
        <f t="shared" si="3"/>
        <v/>
      </c>
      <c r="L15" s="14" t="str">
        <f t="shared" si="3"/>
        <v/>
      </c>
      <c r="M15" s="14" t="str">
        <f t="shared" si="3"/>
        <v/>
      </c>
      <c r="N15" s="14" t="str">
        <f t="shared" si="3"/>
        <v/>
      </c>
      <c r="O15" s="14" t="str">
        <f t="shared" si="3"/>
        <v/>
      </c>
      <c r="P15" s="14" t="str">
        <f t="shared" si="3"/>
        <v/>
      </c>
      <c r="Q15" s="14" t="str">
        <f t="shared" si="3"/>
        <v/>
      </c>
    </row>
    <row r="16" spans="1:17" ht="58" customHeight="1">
      <c r="A16" s="11" t="s">
        <v>29</v>
      </c>
      <c r="B16" s="11" t="s">
        <v>30</v>
      </c>
      <c r="C16" s="15">
        <v>1</v>
      </c>
      <c r="D16" s="19">
        <v>46286</v>
      </c>
      <c r="E16" s="16">
        <f t="shared" si="1"/>
        <v>46292</v>
      </c>
      <c r="F16" s="15" t="str">
        <f t="shared" si="2"/>
        <v>Done</v>
      </c>
      <c r="G16" s="21">
        <v>1</v>
      </c>
      <c r="H16" s="11" t="s">
        <v>31</v>
      </c>
      <c r="I16" s="10" t="s">
        <v>112</v>
      </c>
      <c r="J16" s="17" t="str">
        <f t="shared" si="3"/>
        <v/>
      </c>
      <c r="K16" s="17">
        <f t="shared" si="3"/>
        <v>1</v>
      </c>
      <c r="L16" s="17" t="str">
        <f t="shared" si="3"/>
        <v/>
      </c>
      <c r="M16" s="17" t="str">
        <f t="shared" si="3"/>
        <v/>
      </c>
      <c r="N16" s="17" t="str">
        <f t="shared" si="3"/>
        <v/>
      </c>
      <c r="O16" s="17" t="str">
        <f t="shared" si="3"/>
        <v/>
      </c>
      <c r="P16" s="17" t="str">
        <f t="shared" si="3"/>
        <v/>
      </c>
      <c r="Q16" s="17" t="str">
        <f t="shared" si="3"/>
        <v/>
      </c>
    </row>
    <row r="17" spans="1:17" ht="58" customHeight="1">
      <c r="A17" s="10" t="s">
        <v>32</v>
      </c>
      <c r="B17" s="10" t="s">
        <v>30</v>
      </c>
      <c r="C17" s="12">
        <v>1</v>
      </c>
      <c r="D17" s="18">
        <v>46286</v>
      </c>
      <c r="E17" s="13">
        <f t="shared" si="1"/>
        <v>46292</v>
      </c>
      <c r="F17" s="12" t="str">
        <f t="shared" si="2"/>
        <v>Done</v>
      </c>
      <c r="G17" s="20">
        <v>1</v>
      </c>
      <c r="H17" s="10" t="s">
        <v>33</v>
      </c>
      <c r="I17" s="10" t="s">
        <v>112</v>
      </c>
      <c r="J17" s="14" t="str">
        <f t="shared" si="3"/>
        <v/>
      </c>
      <c r="K17" s="14">
        <f t="shared" si="3"/>
        <v>1</v>
      </c>
      <c r="L17" s="14" t="str">
        <f t="shared" si="3"/>
        <v/>
      </c>
      <c r="M17" s="14" t="str">
        <f t="shared" si="3"/>
        <v/>
      </c>
      <c r="N17" s="14" t="str">
        <f t="shared" si="3"/>
        <v/>
      </c>
      <c r="O17" s="14" t="str">
        <f t="shared" si="3"/>
        <v/>
      </c>
      <c r="P17" s="14" t="str">
        <f t="shared" si="3"/>
        <v/>
      </c>
      <c r="Q17" s="14" t="str">
        <f t="shared" si="3"/>
        <v/>
      </c>
    </row>
    <row r="18" spans="1:17" ht="58" customHeight="1">
      <c r="A18" s="11" t="s">
        <v>34</v>
      </c>
      <c r="B18" s="11" t="s">
        <v>35</v>
      </c>
      <c r="C18" s="15">
        <v>1</v>
      </c>
      <c r="D18" s="19">
        <v>46286</v>
      </c>
      <c r="E18" s="16">
        <f t="shared" si="1"/>
        <v>46292</v>
      </c>
      <c r="F18" s="15" t="str">
        <f t="shared" si="2"/>
        <v>Done</v>
      </c>
      <c r="G18" s="21">
        <v>1</v>
      </c>
      <c r="H18" s="11" t="s">
        <v>36</v>
      </c>
      <c r="I18" s="10" t="s">
        <v>112</v>
      </c>
      <c r="J18" s="17" t="str">
        <f t="shared" si="3"/>
        <v/>
      </c>
      <c r="K18" s="17">
        <f t="shared" si="3"/>
        <v>1</v>
      </c>
      <c r="L18" s="17" t="str">
        <f t="shared" si="3"/>
        <v/>
      </c>
      <c r="M18" s="17" t="str">
        <f t="shared" si="3"/>
        <v/>
      </c>
      <c r="N18" s="17" t="str">
        <f t="shared" si="3"/>
        <v/>
      </c>
      <c r="O18" s="17" t="str">
        <f t="shared" si="3"/>
        <v/>
      </c>
      <c r="P18" s="17" t="str">
        <f t="shared" si="3"/>
        <v/>
      </c>
      <c r="Q18" s="17" t="str">
        <f t="shared" si="3"/>
        <v/>
      </c>
    </row>
    <row r="19" spans="1:17" ht="58" customHeight="1">
      <c r="A19" s="10" t="s">
        <v>37</v>
      </c>
      <c r="B19" s="10" t="s">
        <v>35</v>
      </c>
      <c r="C19" s="12">
        <v>1</v>
      </c>
      <c r="D19" s="18">
        <v>46286</v>
      </c>
      <c r="E19" s="13">
        <f t="shared" si="1"/>
        <v>46292</v>
      </c>
      <c r="F19" s="12" t="str">
        <f t="shared" si="2"/>
        <v>Done</v>
      </c>
      <c r="G19" s="20">
        <v>1</v>
      </c>
      <c r="H19" s="10" t="s">
        <v>38</v>
      </c>
      <c r="I19" s="10" t="s">
        <v>112</v>
      </c>
      <c r="J19" s="14" t="str">
        <f t="shared" si="3"/>
        <v/>
      </c>
      <c r="K19" s="14">
        <f t="shared" si="3"/>
        <v>1</v>
      </c>
      <c r="L19" s="14" t="str">
        <f t="shared" si="3"/>
        <v/>
      </c>
      <c r="M19" s="14" t="str">
        <f t="shared" si="3"/>
        <v/>
      </c>
      <c r="N19" s="14" t="str">
        <f t="shared" si="3"/>
        <v/>
      </c>
      <c r="O19" s="14" t="str">
        <f t="shared" si="3"/>
        <v/>
      </c>
      <c r="P19" s="14" t="str">
        <f t="shared" si="3"/>
        <v/>
      </c>
      <c r="Q19" s="14" t="str">
        <f t="shared" si="3"/>
        <v/>
      </c>
    </row>
    <row r="20" spans="1:17" ht="58" customHeight="1">
      <c r="A20" s="11" t="s">
        <v>39</v>
      </c>
      <c r="B20" s="11" t="s">
        <v>35</v>
      </c>
      <c r="C20" s="15">
        <v>1</v>
      </c>
      <c r="D20" s="19">
        <v>46286</v>
      </c>
      <c r="E20" s="16">
        <f t="shared" si="1"/>
        <v>46292</v>
      </c>
      <c r="F20" s="15" t="str">
        <f t="shared" si="2"/>
        <v>Done</v>
      </c>
      <c r="G20" s="21">
        <v>1</v>
      </c>
      <c r="H20" s="11" t="s">
        <v>114</v>
      </c>
      <c r="I20" s="10" t="s">
        <v>112</v>
      </c>
      <c r="J20" s="17" t="str">
        <f t="shared" si="3"/>
        <v/>
      </c>
      <c r="K20" s="17">
        <f t="shared" si="3"/>
        <v>1</v>
      </c>
      <c r="L20" s="17" t="str">
        <f t="shared" si="3"/>
        <v/>
      </c>
      <c r="M20" s="17" t="str">
        <f t="shared" si="3"/>
        <v/>
      </c>
      <c r="N20" s="17" t="str">
        <f t="shared" si="3"/>
        <v/>
      </c>
      <c r="O20" s="17" t="str">
        <f t="shared" si="3"/>
        <v/>
      </c>
      <c r="P20" s="17" t="str">
        <f t="shared" si="3"/>
        <v/>
      </c>
      <c r="Q20" s="17" t="str">
        <f t="shared" si="3"/>
        <v/>
      </c>
    </row>
    <row r="21" spans="1:17" ht="58" customHeight="1">
      <c r="A21" s="10" t="s">
        <v>40</v>
      </c>
      <c r="B21" s="10" t="s">
        <v>41</v>
      </c>
      <c r="C21" s="12">
        <v>1</v>
      </c>
      <c r="D21" s="18">
        <v>46286</v>
      </c>
      <c r="E21" s="13">
        <f t="shared" si="1"/>
        <v>46292</v>
      </c>
      <c r="F21" s="12" t="str">
        <f t="shared" si="2"/>
        <v>Done</v>
      </c>
      <c r="G21" s="20">
        <v>1</v>
      </c>
      <c r="H21" s="10" t="s">
        <v>115</v>
      </c>
      <c r="I21" s="10" t="s">
        <v>112</v>
      </c>
      <c r="J21" s="14" t="str">
        <f t="shared" ref="J21:Q30" si="4">IF(AND(J$9&lt;=$E21,J$10&gt;=$D21),IF(ISNUMBER($G21),$G21,"?"),"")</f>
        <v/>
      </c>
      <c r="K21" s="14">
        <f t="shared" si="4"/>
        <v>1</v>
      </c>
      <c r="L21" s="14" t="str">
        <f t="shared" si="4"/>
        <v/>
      </c>
      <c r="M21" s="14" t="str">
        <f t="shared" si="4"/>
        <v/>
      </c>
      <c r="N21" s="14" t="str">
        <f t="shared" si="4"/>
        <v/>
      </c>
      <c r="O21" s="14" t="str">
        <f t="shared" si="4"/>
        <v/>
      </c>
      <c r="P21" s="14" t="str">
        <f t="shared" si="4"/>
        <v/>
      </c>
      <c r="Q21" s="14" t="str">
        <f t="shared" si="4"/>
        <v/>
      </c>
    </row>
    <row r="22" spans="1:17" ht="58" customHeight="1">
      <c r="A22" s="11" t="s">
        <v>42</v>
      </c>
      <c r="B22" s="11" t="s">
        <v>41</v>
      </c>
      <c r="C22" s="15">
        <v>1</v>
      </c>
      <c r="D22" s="19">
        <v>46286</v>
      </c>
      <c r="E22" s="16">
        <f t="shared" si="1"/>
        <v>46292</v>
      </c>
      <c r="F22" s="15" t="str">
        <f t="shared" si="2"/>
        <v>Done</v>
      </c>
      <c r="G22" s="21">
        <v>1</v>
      </c>
      <c r="H22" s="11" t="s">
        <v>43</v>
      </c>
      <c r="I22" s="10" t="s">
        <v>112</v>
      </c>
      <c r="J22" s="17" t="str">
        <f t="shared" si="4"/>
        <v/>
      </c>
      <c r="K22" s="17">
        <f t="shared" si="4"/>
        <v>1</v>
      </c>
      <c r="L22" s="17" t="str">
        <f t="shared" si="4"/>
        <v/>
      </c>
      <c r="M22" s="17" t="str">
        <f t="shared" si="4"/>
        <v/>
      </c>
      <c r="N22" s="17" t="str">
        <f t="shared" si="4"/>
        <v/>
      </c>
      <c r="O22" s="17" t="str">
        <f t="shared" si="4"/>
        <v/>
      </c>
      <c r="P22" s="17" t="str">
        <f t="shared" si="4"/>
        <v/>
      </c>
      <c r="Q22" s="17" t="str">
        <f t="shared" si="4"/>
        <v/>
      </c>
    </row>
    <row r="23" spans="1:17" ht="58" customHeight="1">
      <c r="A23" s="10" t="s">
        <v>44</v>
      </c>
      <c r="B23" s="10" t="s">
        <v>45</v>
      </c>
      <c r="C23" s="12">
        <v>1</v>
      </c>
      <c r="D23" s="18">
        <v>46286</v>
      </c>
      <c r="E23" s="13">
        <f t="shared" si="1"/>
        <v>46292</v>
      </c>
      <c r="F23" s="12" t="str">
        <f t="shared" si="2"/>
        <v>Done</v>
      </c>
      <c r="G23" s="20">
        <v>1</v>
      </c>
      <c r="H23" s="10" t="s">
        <v>46</v>
      </c>
      <c r="I23" s="10" t="s">
        <v>112</v>
      </c>
      <c r="J23" s="14" t="str">
        <f t="shared" si="4"/>
        <v/>
      </c>
      <c r="K23" s="14">
        <f t="shared" si="4"/>
        <v>1</v>
      </c>
      <c r="L23" s="14" t="str">
        <f t="shared" si="4"/>
        <v/>
      </c>
      <c r="M23" s="14" t="str">
        <f t="shared" si="4"/>
        <v/>
      </c>
      <c r="N23" s="14" t="str">
        <f t="shared" si="4"/>
        <v/>
      </c>
      <c r="O23" s="14" t="str">
        <f t="shared" si="4"/>
        <v/>
      </c>
      <c r="P23" s="14" t="str">
        <f t="shared" si="4"/>
        <v/>
      </c>
      <c r="Q23" s="14" t="str">
        <f t="shared" si="4"/>
        <v/>
      </c>
    </row>
    <row r="24" spans="1:17" ht="58" customHeight="1">
      <c r="A24" s="11" t="s">
        <v>47</v>
      </c>
      <c r="B24" s="11" t="s">
        <v>45</v>
      </c>
      <c r="C24" s="15">
        <v>1</v>
      </c>
      <c r="D24" s="19">
        <v>46286</v>
      </c>
      <c r="E24" s="16">
        <f t="shared" si="1"/>
        <v>46292</v>
      </c>
      <c r="F24" s="15" t="str">
        <f t="shared" si="2"/>
        <v>Done</v>
      </c>
      <c r="G24" s="21">
        <v>1</v>
      </c>
      <c r="H24" s="11" t="s">
        <v>48</v>
      </c>
      <c r="I24" s="10" t="s">
        <v>112</v>
      </c>
      <c r="J24" s="17" t="str">
        <f t="shared" si="4"/>
        <v/>
      </c>
      <c r="K24" s="17">
        <f t="shared" si="4"/>
        <v>1</v>
      </c>
      <c r="L24" s="17" t="str">
        <f t="shared" si="4"/>
        <v/>
      </c>
      <c r="M24" s="17" t="str">
        <f t="shared" si="4"/>
        <v/>
      </c>
      <c r="N24" s="17" t="str">
        <f t="shared" si="4"/>
        <v/>
      </c>
      <c r="O24" s="17" t="str">
        <f t="shared" si="4"/>
        <v/>
      </c>
      <c r="P24" s="17" t="str">
        <f t="shared" si="4"/>
        <v/>
      </c>
      <c r="Q24" s="17" t="str">
        <f t="shared" si="4"/>
        <v/>
      </c>
    </row>
    <row r="25" spans="1:17" ht="58" customHeight="1">
      <c r="A25" s="10" t="s">
        <v>49</v>
      </c>
      <c r="B25" s="10" t="s">
        <v>45</v>
      </c>
      <c r="C25" s="12">
        <v>1</v>
      </c>
      <c r="D25" s="18">
        <v>46286</v>
      </c>
      <c r="E25" s="13">
        <f t="shared" si="1"/>
        <v>46292</v>
      </c>
      <c r="F25" s="12" t="str">
        <f t="shared" si="2"/>
        <v>Done</v>
      </c>
      <c r="G25" s="20">
        <v>1</v>
      </c>
      <c r="H25" s="10" t="s">
        <v>50</v>
      </c>
      <c r="I25" s="10" t="s">
        <v>112</v>
      </c>
      <c r="J25" s="14" t="str">
        <f t="shared" si="4"/>
        <v/>
      </c>
      <c r="K25" s="14">
        <f t="shared" si="4"/>
        <v>1</v>
      </c>
      <c r="L25" s="14" t="str">
        <f t="shared" si="4"/>
        <v/>
      </c>
      <c r="M25" s="14" t="str">
        <f t="shared" si="4"/>
        <v/>
      </c>
      <c r="N25" s="14" t="str">
        <f t="shared" si="4"/>
        <v/>
      </c>
      <c r="O25" s="14" t="str">
        <f t="shared" si="4"/>
        <v/>
      </c>
      <c r="P25" s="14" t="str">
        <f t="shared" si="4"/>
        <v/>
      </c>
      <c r="Q25" s="14" t="str">
        <f t="shared" si="4"/>
        <v/>
      </c>
    </row>
    <row r="26" spans="1:17" ht="58" customHeight="1">
      <c r="A26" s="11" t="s">
        <v>51</v>
      </c>
      <c r="B26" s="11" t="s">
        <v>52</v>
      </c>
      <c r="C26" s="15">
        <v>1</v>
      </c>
      <c r="D26" s="19">
        <v>46286</v>
      </c>
      <c r="E26" s="16">
        <f t="shared" si="1"/>
        <v>46292</v>
      </c>
      <c r="F26" s="15" t="str">
        <f t="shared" si="2"/>
        <v>Done</v>
      </c>
      <c r="G26" s="21">
        <v>1</v>
      </c>
      <c r="H26" s="11" t="s">
        <v>53</v>
      </c>
      <c r="I26" s="10" t="s">
        <v>112</v>
      </c>
      <c r="J26" s="17" t="str">
        <f t="shared" si="4"/>
        <v/>
      </c>
      <c r="K26" s="17">
        <f t="shared" si="4"/>
        <v>1</v>
      </c>
      <c r="L26" s="17" t="str">
        <f t="shared" si="4"/>
        <v/>
      </c>
      <c r="M26" s="17" t="str">
        <f t="shared" si="4"/>
        <v/>
      </c>
      <c r="N26" s="17" t="str">
        <f t="shared" si="4"/>
        <v/>
      </c>
      <c r="O26" s="17" t="str">
        <f t="shared" si="4"/>
        <v/>
      </c>
      <c r="P26" s="17" t="str">
        <f t="shared" si="4"/>
        <v/>
      </c>
      <c r="Q26" s="17" t="str">
        <f t="shared" si="4"/>
        <v/>
      </c>
    </row>
    <row r="27" spans="1:17" ht="58" customHeight="1">
      <c r="A27" s="10" t="s">
        <v>54</v>
      </c>
      <c r="B27" s="10" t="s">
        <v>52</v>
      </c>
      <c r="C27" s="12">
        <v>1</v>
      </c>
      <c r="D27" s="18">
        <v>46286</v>
      </c>
      <c r="E27" s="13">
        <f t="shared" si="1"/>
        <v>46292</v>
      </c>
      <c r="F27" s="12" t="str">
        <f t="shared" si="2"/>
        <v>Done</v>
      </c>
      <c r="G27" s="20">
        <v>1</v>
      </c>
      <c r="H27" s="10" t="s">
        <v>55</v>
      </c>
      <c r="I27" s="10" t="s">
        <v>112</v>
      </c>
      <c r="J27" s="14" t="str">
        <f t="shared" si="4"/>
        <v/>
      </c>
      <c r="K27" s="14">
        <f t="shared" si="4"/>
        <v>1</v>
      </c>
      <c r="L27" s="14" t="str">
        <f t="shared" si="4"/>
        <v/>
      </c>
      <c r="M27" s="14" t="str">
        <f t="shared" si="4"/>
        <v/>
      </c>
      <c r="N27" s="14" t="str">
        <f t="shared" si="4"/>
        <v/>
      </c>
      <c r="O27" s="14" t="str">
        <f t="shared" si="4"/>
        <v/>
      </c>
      <c r="P27" s="14" t="str">
        <f t="shared" si="4"/>
        <v/>
      </c>
      <c r="Q27" s="14" t="str">
        <f t="shared" si="4"/>
        <v/>
      </c>
    </row>
    <row r="28" spans="1:17" ht="58" customHeight="1">
      <c r="A28" s="11" t="s">
        <v>56</v>
      </c>
      <c r="B28" s="11" t="s">
        <v>52</v>
      </c>
      <c r="C28" s="15">
        <v>1</v>
      </c>
      <c r="D28" s="19">
        <v>46286</v>
      </c>
      <c r="E28" s="16">
        <f t="shared" si="1"/>
        <v>46292</v>
      </c>
      <c r="F28" s="15" t="str">
        <f t="shared" si="2"/>
        <v>Done</v>
      </c>
      <c r="G28" s="21">
        <v>1</v>
      </c>
      <c r="H28" s="11" t="s">
        <v>57</v>
      </c>
      <c r="I28" s="10" t="s">
        <v>112</v>
      </c>
      <c r="J28" s="17" t="str">
        <f t="shared" si="4"/>
        <v/>
      </c>
      <c r="K28" s="17">
        <f t="shared" si="4"/>
        <v>1</v>
      </c>
      <c r="L28" s="17" t="str">
        <f t="shared" si="4"/>
        <v/>
      </c>
      <c r="M28" s="17" t="str">
        <f t="shared" si="4"/>
        <v/>
      </c>
      <c r="N28" s="17" t="str">
        <f t="shared" si="4"/>
        <v/>
      </c>
      <c r="O28" s="17" t="str">
        <f t="shared" si="4"/>
        <v/>
      </c>
      <c r="P28" s="17" t="str">
        <f t="shared" si="4"/>
        <v/>
      </c>
      <c r="Q28" s="17" t="str">
        <f t="shared" si="4"/>
        <v/>
      </c>
    </row>
    <row r="29" spans="1:17" ht="58" customHeight="1">
      <c r="A29" s="10" t="s">
        <v>58</v>
      </c>
      <c r="B29" s="10" t="s">
        <v>52</v>
      </c>
      <c r="C29" s="12">
        <v>1</v>
      </c>
      <c r="D29" s="18">
        <v>46286</v>
      </c>
      <c r="E29" s="13">
        <f t="shared" si="1"/>
        <v>46292</v>
      </c>
      <c r="F29" s="12" t="str">
        <f t="shared" si="2"/>
        <v>Done</v>
      </c>
      <c r="G29" s="20">
        <v>1</v>
      </c>
      <c r="H29" s="10" t="s">
        <v>59</v>
      </c>
      <c r="I29" s="10" t="s">
        <v>112</v>
      </c>
      <c r="J29" s="14" t="str">
        <f t="shared" si="4"/>
        <v/>
      </c>
      <c r="K29" s="14">
        <f t="shared" si="4"/>
        <v>1</v>
      </c>
      <c r="L29" s="14" t="str">
        <f t="shared" si="4"/>
        <v/>
      </c>
      <c r="M29" s="14" t="str">
        <f t="shared" si="4"/>
        <v/>
      </c>
      <c r="N29" s="14" t="str">
        <f t="shared" si="4"/>
        <v/>
      </c>
      <c r="O29" s="14" t="str">
        <f t="shared" si="4"/>
        <v/>
      </c>
      <c r="P29" s="14" t="str">
        <f t="shared" si="4"/>
        <v/>
      </c>
      <c r="Q29" s="14" t="str">
        <f t="shared" si="4"/>
        <v/>
      </c>
    </row>
    <row r="30" spans="1:17" ht="58" customHeight="1">
      <c r="A30" s="11" t="s">
        <v>60</v>
      </c>
      <c r="B30" s="11" t="s">
        <v>61</v>
      </c>
      <c r="C30" s="15">
        <v>1</v>
      </c>
      <c r="D30" s="19">
        <v>46286</v>
      </c>
      <c r="E30" s="16">
        <f t="shared" si="1"/>
        <v>46292</v>
      </c>
      <c r="F30" s="15" t="str">
        <f t="shared" si="2"/>
        <v>Done</v>
      </c>
      <c r="G30" s="21">
        <v>1</v>
      </c>
      <c r="H30" s="11" t="s">
        <v>62</v>
      </c>
      <c r="I30" s="10" t="s">
        <v>112</v>
      </c>
      <c r="J30" s="17" t="str">
        <f t="shared" si="4"/>
        <v/>
      </c>
      <c r="K30" s="17">
        <f t="shared" si="4"/>
        <v>1</v>
      </c>
      <c r="L30" s="17" t="str">
        <f t="shared" si="4"/>
        <v/>
      </c>
      <c r="M30" s="17" t="str">
        <f t="shared" si="4"/>
        <v/>
      </c>
      <c r="N30" s="17" t="str">
        <f t="shared" si="4"/>
        <v/>
      </c>
      <c r="O30" s="17" t="str">
        <f t="shared" si="4"/>
        <v/>
      </c>
      <c r="P30" s="17" t="str">
        <f t="shared" si="4"/>
        <v/>
      </c>
      <c r="Q30" s="17" t="str">
        <f t="shared" si="4"/>
        <v/>
      </c>
    </row>
    <row r="31" spans="1:17" ht="58" customHeight="1">
      <c r="A31" s="10" t="s">
        <v>63</v>
      </c>
      <c r="B31" s="10" t="s">
        <v>61</v>
      </c>
      <c r="C31" s="12">
        <v>1</v>
      </c>
      <c r="D31" s="18">
        <v>46286</v>
      </c>
      <c r="E31" s="13">
        <f t="shared" si="1"/>
        <v>46292</v>
      </c>
      <c r="F31" s="12" t="str">
        <f t="shared" si="2"/>
        <v>Done</v>
      </c>
      <c r="G31" s="20">
        <v>1</v>
      </c>
      <c r="H31" s="10" t="s">
        <v>64</v>
      </c>
      <c r="I31" s="10" t="s">
        <v>112</v>
      </c>
      <c r="J31" s="14" t="str">
        <f t="shared" ref="J31:Q40" si="5">IF(AND(J$9&lt;=$E31,J$10&gt;=$D31),IF(ISNUMBER($G31),$G31,"?"),"")</f>
        <v/>
      </c>
      <c r="K31" s="14">
        <f t="shared" si="5"/>
        <v>1</v>
      </c>
      <c r="L31" s="14" t="str">
        <f t="shared" si="5"/>
        <v/>
      </c>
      <c r="M31" s="14" t="str">
        <f t="shared" si="5"/>
        <v/>
      </c>
      <c r="N31" s="14" t="str">
        <f t="shared" si="5"/>
        <v/>
      </c>
      <c r="O31" s="14" t="str">
        <f t="shared" si="5"/>
        <v/>
      </c>
      <c r="P31" s="14" t="str">
        <f t="shared" si="5"/>
        <v/>
      </c>
      <c r="Q31" s="14" t="str">
        <f t="shared" si="5"/>
        <v/>
      </c>
    </row>
    <row r="32" spans="1:17" ht="58" customHeight="1">
      <c r="A32" s="11" t="s">
        <v>65</v>
      </c>
      <c r="B32" s="11" t="s">
        <v>20</v>
      </c>
      <c r="C32" s="15">
        <v>1</v>
      </c>
      <c r="D32" s="19">
        <v>46293</v>
      </c>
      <c r="E32" s="16">
        <f t="shared" si="1"/>
        <v>46299</v>
      </c>
      <c r="F32" s="15" t="str">
        <f t="shared" si="2"/>
        <v>Done</v>
      </c>
      <c r="G32" s="21">
        <v>1</v>
      </c>
      <c r="H32" s="11" t="s">
        <v>66</v>
      </c>
      <c r="I32" s="10" t="s">
        <v>112</v>
      </c>
      <c r="J32" s="17" t="str">
        <f t="shared" si="5"/>
        <v/>
      </c>
      <c r="K32" s="17" t="str">
        <f t="shared" si="5"/>
        <v/>
      </c>
      <c r="L32" s="17">
        <f t="shared" si="5"/>
        <v>1</v>
      </c>
      <c r="M32" s="17" t="str">
        <f t="shared" si="5"/>
        <v/>
      </c>
      <c r="N32" s="17" t="str">
        <f t="shared" si="5"/>
        <v/>
      </c>
      <c r="O32" s="17" t="str">
        <f t="shared" si="5"/>
        <v/>
      </c>
      <c r="P32" s="17" t="str">
        <f t="shared" si="5"/>
        <v/>
      </c>
      <c r="Q32" s="17" t="str">
        <f t="shared" si="5"/>
        <v/>
      </c>
    </row>
    <row r="33" spans="1:17" ht="58" customHeight="1">
      <c r="A33" s="10" t="s">
        <v>67</v>
      </c>
      <c r="B33" s="10" t="s">
        <v>35</v>
      </c>
      <c r="C33" s="12">
        <v>1</v>
      </c>
      <c r="D33" s="18">
        <v>46293</v>
      </c>
      <c r="E33" s="13">
        <f t="shared" si="1"/>
        <v>46299</v>
      </c>
      <c r="F33" s="12" t="str">
        <f t="shared" si="2"/>
        <v>Done</v>
      </c>
      <c r="G33" s="20">
        <v>1</v>
      </c>
      <c r="H33" s="10" t="s">
        <v>68</v>
      </c>
      <c r="I33" s="10" t="s">
        <v>112</v>
      </c>
      <c r="J33" s="14" t="str">
        <f t="shared" si="5"/>
        <v/>
      </c>
      <c r="K33" s="14" t="str">
        <f t="shared" si="5"/>
        <v/>
      </c>
      <c r="L33" s="14">
        <f t="shared" si="5"/>
        <v>1</v>
      </c>
      <c r="M33" s="14" t="str">
        <f t="shared" si="5"/>
        <v/>
      </c>
      <c r="N33" s="14" t="str">
        <f t="shared" si="5"/>
        <v/>
      </c>
      <c r="O33" s="14" t="str">
        <f t="shared" si="5"/>
        <v/>
      </c>
      <c r="P33" s="14" t="str">
        <f t="shared" si="5"/>
        <v/>
      </c>
      <c r="Q33" s="14" t="str">
        <f t="shared" si="5"/>
        <v/>
      </c>
    </row>
    <row r="34" spans="1:17" ht="58" customHeight="1">
      <c r="A34" s="11" t="s">
        <v>69</v>
      </c>
      <c r="B34" s="11" t="s">
        <v>35</v>
      </c>
      <c r="C34" s="15">
        <v>1</v>
      </c>
      <c r="D34" s="19">
        <v>46293</v>
      </c>
      <c r="E34" s="16">
        <f t="shared" si="1"/>
        <v>46299</v>
      </c>
      <c r="F34" s="15" t="str">
        <f t="shared" si="2"/>
        <v>Done</v>
      </c>
      <c r="G34" s="21">
        <v>1</v>
      </c>
      <c r="H34" s="11" t="s">
        <v>70</v>
      </c>
      <c r="I34" s="10" t="s">
        <v>112</v>
      </c>
      <c r="J34" s="17" t="str">
        <f t="shared" si="5"/>
        <v/>
      </c>
      <c r="K34" s="17" t="str">
        <f t="shared" si="5"/>
        <v/>
      </c>
      <c r="L34" s="17">
        <f t="shared" si="5"/>
        <v>1</v>
      </c>
      <c r="M34" s="17" t="str">
        <f t="shared" si="5"/>
        <v/>
      </c>
      <c r="N34" s="17" t="str">
        <f t="shared" si="5"/>
        <v/>
      </c>
      <c r="O34" s="17" t="str">
        <f t="shared" si="5"/>
        <v/>
      </c>
      <c r="P34" s="17" t="str">
        <f t="shared" si="5"/>
        <v/>
      </c>
      <c r="Q34" s="17" t="str">
        <f t="shared" si="5"/>
        <v/>
      </c>
    </row>
    <row r="35" spans="1:17" ht="58" customHeight="1">
      <c r="A35" s="10" t="s">
        <v>71</v>
      </c>
      <c r="B35" s="10" t="s">
        <v>45</v>
      </c>
      <c r="C35" s="12">
        <v>1</v>
      </c>
      <c r="D35" s="18">
        <v>46293</v>
      </c>
      <c r="E35" s="13">
        <f t="shared" si="1"/>
        <v>46299</v>
      </c>
      <c r="F35" s="12" t="str">
        <f t="shared" si="2"/>
        <v>Done</v>
      </c>
      <c r="G35" s="20">
        <v>1</v>
      </c>
      <c r="H35" s="10" t="s">
        <v>72</v>
      </c>
      <c r="I35" s="10" t="s">
        <v>112</v>
      </c>
      <c r="J35" s="14" t="str">
        <f t="shared" si="5"/>
        <v/>
      </c>
      <c r="K35" s="14" t="str">
        <f t="shared" si="5"/>
        <v/>
      </c>
      <c r="L35" s="14">
        <f t="shared" si="5"/>
        <v>1</v>
      </c>
      <c r="M35" s="14" t="str">
        <f t="shared" si="5"/>
        <v/>
      </c>
      <c r="N35" s="14" t="str">
        <f t="shared" si="5"/>
        <v/>
      </c>
      <c r="O35" s="14" t="str">
        <f t="shared" si="5"/>
        <v/>
      </c>
      <c r="P35" s="14" t="str">
        <f t="shared" si="5"/>
        <v/>
      </c>
      <c r="Q35" s="14" t="str">
        <f t="shared" si="5"/>
        <v/>
      </c>
    </row>
    <row r="36" spans="1:17" ht="58" customHeight="1">
      <c r="A36" s="11" t="s">
        <v>73</v>
      </c>
      <c r="B36" s="11" t="s">
        <v>52</v>
      </c>
      <c r="C36" s="15">
        <v>1</v>
      </c>
      <c r="D36" s="19">
        <v>46293</v>
      </c>
      <c r="E36" s="16">
        <f t="shared" si="1"/>
        <v>46299</v>
      </c>
      <c r="F36" s="15" t="str">
        <f t="shared" si="2"/>
        <v>Done</v>
      </c>
      <c r="G36" s="21">
        <v>1</v>
      </c>
      <c r="H36" s="11" t="s">
        <v>74</v>
      </c>
      <c r="I36" s="10" t="s">
        <v>112</v>
      </c>
      <c r="J36" s="17" t="str">
        <f t="shared" si="5"/>
        <v/>
      </c>
      <c r="K36" s="17" t="str">
        <f t="shared" si="5"/>
        <v/>
      </c>
      <c r="L36" s="17">
        <f t="shared" si="5"/>
        <v>1</v>
      </c>
      <c r="M36" s="17" t="str">
        <f t="shared" si="5"/>
        <v/>
      </c>
      <c r="N36" s="17" t="str">
        <f t="shared" si="5"/>
        <v/>
      </c>
      <c r="O36" s="17" t="str">
        <f t="shared" si="5"/>
        <v/>
      </c>
      <c r="P36" s="17" t="str">
        <f t="shared" si="5"/>
        <v/>
      </c>
      <c r="Q36" s="17" t="str">
        <f t="shared" si="5"/>
        <v/>
      </c>
    </row>
    <row r="37" spans="1:17" ht="58" customHeight="1">
      <c r="A37" s="10" t="s">
        <v>75</v>
      </c>
      <c r="B37" s="10" t="s">
        <v>52</v>
      </c>
      <c r="C37" s="12">
        <v>1</v>
      </c>
      <c r="D37" s="18">
        <v>46293</v>
      </c>
      <c r="E37" s="13">
        <f t="shared" si="1"/>
        <v>46299</v>
      </c>
      <c r="F37" s="12" t="str">
        <f t="shared" si="2"/>
        <v>Done</v>
      </c>
      <c r="G37" s="20">
        <v>1</v>
      </c>
      <c r="H37" s="10" t="s">
        <v>76</v>
      </c>
      <c r="I37" s="10" t="s">
        <v>112</v>
      </c>
      <c r="J37" s="14" t="str">
        <f t="shared" si="5"/>
        <v/>
      </c>
      <c r="K37" s="14" t="str">
        <f t="shared" si="5"/>
        <v/>
      </c>
      <c r="L37" s="14">
        <f t="shared" si="5"/>
        <v>1</v>
      </c>
      <c r="M37" s="14" t="str">
        <f t="shared" si="5"/>
        <v/>
      </c>
      <c r="N37" s="14" t="str">
        <f t="shared" si="5"/>
        <v/>
      </c>
      <c r="O37" s="14" t="str">
        <f t="shared" si="5"/>
        <v/>
      </c>
      <c r="P37" s="14" t="str">
        <f t="shared" si="5"/>
        <v/>
      </c>
      <c r="Q37" s="14" t="str">
        <f t="shared" si="5"/>
        <v/>
      </c>
    </row>
    <row r="38" spans="1:17" ht="58" customHeight="1">
      <c r="A38" s="11" t="s">
        <v>77</v>
      </c>
      <c r="B38" s="11" t="s">
        <v>61</v>
      </c>
      <c r="C38" s="15">
        <v>1</v>
      </c>
      <c r="D38" s="19">
        <v>46293</v>
      </c>
      <c r="E38" s="16">
        <f t="shared" si="1"/>
        <v>46299</v>
      </c>
      <c r="F38" s="15" t="str">
        <f t="shared" si="2"/>
        <v>Done</v>
      </c>
      <c r="G38" s="21">
        <v>1</v>
      </c>
      <c r="H38" s="11" t="s">
        <v>78</v>
      </c>
      <c r="I38" s="10" t="s">
        <v>112</v>
      </c>
      <c r="J38" s="17" t="str">
        <f t="shared" si="5"/>
        <v/>
      </c>
      <c r="K38" s="17" t="str">
        <f t="shared" si="5"/>
        <v/>
      </c>
      <c r="L38" s="17">
        <f t="shared" si="5"/>
        <v>1</v>
      </c>
      <c r="M38" s="17" t="str">
        <f t="shared" si="5"/>
        <v/>
      </c>
      <c r="N38" s="17" t="str">
        <f t="shared" si="5"/>
        <v/>
      </c>
      <c r="O38" s="17" t="str">
        <f t="shared" si="5"/>
        <v/>
      </c>
      <c r="P38" s="17" t="str">
        <f t="shared" si="5"/>
        <v/>
      </c>
      <c r="Q38" s="17" t="str">
        <f t="shared" si="5"/>
        <v/>
      </c>
    </row>
    <row r="39" spans="1:17" ht="58" customHeight="1">
      <c r="A39" s="10" t="s">
        <v>79</v>
      </c>
      <c r="B39" s="10" t="s">
        <v>61</v>
      </c>
      <c r="C39" s="12">
        <v>1</v>
      </c>
      <c r="D39" s="18">
        <v>46293</v>
      </c>
      <c r="E39" s="13">
        <f t="shared" si="1"/>
        <v>46299</v>
      </c>
      <c r="F39" s="12" t="str">
        <f t="shared" si="2"/>
        <v>Started</v>
      </c>
      <c r="G39" s="20">
        <v>0.75</v>
      </c>
      <c r="H39" s="10" t="s">
        <v>80</v>
      </c>
      <c r="I39" s="10" t="s">
        <v>112</v>
      </c>
      <c r="J39" s="14" t="str">
        <f t="shared" si="5"/>
        <v/>
      </c>
      <c r="K39" s="14" t="str">
        <f t="shared" si="5"/>
        <v/>
      </c>
      <c r="L39" s="14">
        <v>1</v>
      </c>
      <c r="M39" s="14" t="str">
        <f t="shared" si="5"/>
        <v/>
      </c>
      <c r="N39" s="14" t="str">
        <f t="shared" si="5"/>
        <v/>
      </c>
      <c r="O39" s="14" t="str">
        <f t="shared" si="5"/>
        <v/>
      </c>
      <c r="P39" s="14" t="str">
        <f t="shared" si="5"/>
        <v/>
      </c>
      <c r="Q39" s="14" t="str">
        <f t="shared" si="5"/>
        <v/>
      </c>
    </row>
    <row r="40" spans="1:17" ht="58" customHeight="1">
      <c r="A40" s="11" t="s">
        <v>81</v>
      </c>
      <c r="B40" s="11" t="s">
        <v>82</v>
      </c>
      <c r="C40" s="15">
        <v>1</v>
      </c>
      <c r="D40" s="19">
        <v>46300</v>
      </c>
      <c r="E40" s="16">
        <f t="shared" si="1"/>
        <v>46306</v>
      </c>
      <c r="F40" s="15" t="str">
        <f t="shared" si="2"/>
        <v>Not finished</v>
      </c>
      <c r="G40" s="21">
        <v>0</v>
      </c>
      <c r="H40" s="11" t="s">
        <v>83</v>
      </c>
      <c r="I40" s="11" t="s">
        <v>84</v>
      </c>
      <c r="J40" s="17" t="str">
        <f t="shared" si="5"/>
        <v/>
      </c>
      <c r="K40" s="17" t="str">
        <f t="shared" si="5"/>
        <v/>
      </c>
      <c r="L40" s="17" t="str">
        <f t="shared" si="5"/>
        <v/>
      </c>
      <c r="M40" s="17">
        <f t="shared" si="5"/>
        <v>0</v>
      </c>
      <c r="N40" s="17" t="str">
        <f t="shared" si="5"/>
        <v/>
      </c>
      <c r="O40" s="17" t="str">
        <f t="shared" si="5"/>
        <v/>
      </c>
      <c r="P40" s="17" t="str">
        <f t="shared" si="5"/>
        <v/>
      </c>
      <c r="Q40" s="17" t="str">
        <f t="shared" si="5"/>
        <v/>
      </c>
    </row>
    <row r="41" spans="1:17" ht="58" customHeight="1">
      <c r="A41" s="11" t="s">
        <v>85</v>
      </c>
      <c r="B41" s="11" t="s">
        <v>82</v>
      </c>
      <c r="C41" s="15">
        <v>1</v>
      </c>
      <c r="D41" s="19">
        <v>46300</v>
      </c>
      <c r="E41" s="16">
        <f t="shared" si="1"/>
        <v>46306</v>
      </c>
      <c r="F41" s="15" t="str">
        <f t="shared" si="2"/>
        <v>Not finished</v>
      </c>
      <c r="G41" s="21">
        <v>0</v>
      </c>
      <c r="H41" s="11" t="s">
        <v>86</v>
      </c>
      <c r="I41" s="11" t="s">
        <v>84</v>
      </c>
      <c r="J41" s="17" t="str">
        <f t="shared" ref="J41:Q54" si="6">IF(AND(J$9&lt;=$E41,J$10&gt;=$D41),IF(ISNUMBER($G41),$G41,"?"),"")</f>
        <v/>
      </c>
      <c r="K41" s="17" t="str">
        <f t="shared" si="6"/>
        <v/>
      </c>
      <c r="L41" s="17" t="str">
        <f t="shared" si="6"/>
        <v/>
      </c>
      <c r="M41" s="17">
        <f t="shared" si="6"/>
        <v>0</v>
      </c>
      <c r="N41" s="17" t="str">
        <f t="shared" si="6"/>
        <v/>
      </c>
      <c r="O41" s="17" t="str">
        <f t="shared" si="6"/>
        <v/>
      </c>
      <c r="P41" s="17" t="str">
        <f t="shared" si="6"/>
        <v/>
      </c>
      <c r="Q41" s="17" t="str">
        <f t="shared" si="6"/>
        <v/>
      </c>
    </row>
    <row r="42" spans="1:17" ht="58" customHeight="1">
      <c r="A42" s="10" t="s">
        <v>87</v>
      </c>
      <c r="B42" s="10" t="s">
        <v>82</v>
      </c>
      <c r="C42" s="12">
        <v>1</v>
      </c>
      <c r="D42" s="18">
        <v>46300</v>
      </c>
      <c r="E42" s="13">
        <f t="shared" si="1"/>
        <v>46306</v>
      </c>
      <c r="F42" s="12" t="str">
        <f t="shared" si="2"/>
        <v>Not finished</v>
      </c>
      <c r="G42" s="20">
        <v>0</v>
      </c>
      <c r="H42" s="10" t="s">
        <v>88</v>
      </c>
      <c r="I42" s="10" t="s">
        <v>84</v>
      </c>
      <c r="J42" s="14" t="str">
        <f t="shared" si="6"/>
        <v/>
      </c>
      <c r="K42" s="14" t="str">
        <f t="shared" si="6"/>
        <v/>
      </c>
      <c r="L42" s="14" t="str">
        <f t="shared" si="6"/>
        <v/>
      </c>
      <c r="M42" s="14">
        <f t="shared" si="6"/>
        <v>0</v>
      </c>
      <c r="N42" s="14" t="str">
        <f t="shared" si="6"/>
        <v/>
      </c>
      <c r="O42" s="14" t="str">
        <f t="shared" si="6"/>
        <v/>
      </c>
      <c r="P42" s="14" t="str">
        <f t="shared" si="6"/>
        <v/>
      </c>
      <c r="Q42" s="14" t="str">
        <f t="shared" si="6"/>
        <v/>
      </c>
    </row>
    <row r="43" spans="1:17" ht="58" customHeight="1">
      <c r="A43" s="11" t="s">
        <v>37</v>
      </c>
      <c r="B43" s="11" t="s">
        <v>82</v>
      </c>
      <c r="C43" s="15">
        <v>1</v>
      </c>
      <c r="D43" s="19">
        <v>46300</v>
      </c>
      <c r="E43" s="16">
        <f t="shared" si="1"/>
        <v>46306</v>
      </c>
      <c r="F43" s="15" t="str">
        <f t="shared" si="2"/>
        <v>Not finished</v>
      </c>
      <c r="G43" s="21">
        <v>0</v>
      </c>
      <c r="H43" s="11" t="s">
        <v>116</v>
      </c>
      <c r="I43" s="11" t="s">
        <v>84</v>
      </c>
      <c r="J43" s="17" t="str">
        <f t="shared" si="6"/>
        <v/>
      </c>
      <c r="K43" s="17" t="str">
        <f t="shared" si="6"/>
        <v/>
      </c>
      <c r="L43" s="17" t="str">
        <f t="shared" si="6"/>
        <v/>
      </c>
      <c r="M43" s="17">
        <f t="shared" si="6"/>
        <v>0</v>
      </c>
      <c r="N43" s="17" t="str">
        <f t="shared" si="6"/>
        <v/>
      </c>
      <c r="O43" s="17" t="str">
        <f t="shared" si="6"/>
        <v/>
      </c>
      <c r="P43" s="17" t="str">
        <f t="shared" si="6"/>
        <v/>
      </c>
      <c r="Q43" s="17" t="str">
        <f t="shared" si="6"/>
        <v/>
      </c>
    </row>
    <row r="44" spans="1:17" ht="58" customHeight="1">
      <c r="A44" s="10" t="s">
        <v>39</v>
      </c>
      <c r="B44" s="10" t="s">
        <v>82</v>
      </c>
      <c r="C44" s="12">
        <v>1</v>
      </c>
      <c r="D44" s="18">
        <v>46300</v>
      </c>
      <c r="E44" s="13">
        <f t="shared" si="1"/>
        <v>46306</v>
      </c>
      <c r="F44" s="12" t="str">
        <f t="shared" si="2"/>
        <v>Not finished</v>
      </c>
      <c r="G44" s="20">
        <v>0</v>
      </c>
      <c r="H44" s="10" t="s">
        <v>89</v>
      </c>
      <c r="I44" s="10" t="s">
        <v>84</v>
      </c>
      <c r="J44" s="14" t="str">
        <f t="shared" si="6"/>
        <v/>
      </c>
      <c r="K44" s="14" t="str">
        <f t="shared" si="6"/>
        <v/>
      </c>
      <c r="L44" s="14" t="str">
        <f t="shared" si="6"/>
        <v/>
      </c>
      <c r="M44" s="14">
        <f t="shared" si="6"/>
        <v>0</v>
      </c>
      <c r="N44" s="14" t="str">
        <f t="shared" si="6"/>
        <v/>
      </c>
      <c r="O44" s="14" t="str">
        <f t="shared" si="6"/>
        <v/>
      </c>
      <c r="P44" s="14" t="str">
        <f t="shared" si="6"/>
        <v/>
      </c>
      <c r="Q44" s="14" t="str">
        <f t="shared" si="6"/>
        <v/>
      </c>
    </row>
    <row r="45" spans="1:17" ht="58" customHeight="1">
      <c r="A45" s="11" t="s">
        <v>90</v>
      </c>
      <c r="B45" s="11" t="s">
        <v>82</v>
      </c>
      <c r="C45" s="15">
        <v>1</v>
      </c>
      <c r="D45" s="19">
        <v>46307</v>
      </c>
      <c r="E45" s="16">
        <f t="shared" si="1"/>
        <v>46313</v>
      </c>
      <c r="F45" s="15" t="str">
        <f t="shared" si="2"/>
        <v>Not finished</v>
      </c>
      <c r="G45" s="21">
        <v>0</v>
      </c>
      <c r="H45" s="11" t="s">
        <v>117</v>
      </c>
      <c r="I45" s="11" t="s">
        <v>84</v>
      </c>
      <c r="J45" s="17" t="str">
        <f t="shared" si="6"/>
        <v/>
      </c>
      <c r="K45" s="17" t="str">
        <f t="shared" si="6"/>
        <v/>
      </c>
      <c r="L45" s="17" t="str">
        <f t="shared" si="6"/>
        <v/>
      </c>
      <c r="M45" s="17" t="str">
        <f t="shared" si="6"/>
        <v/>
      </c>
      <c r="N45" s="17">
        <f t="shared" si="6"/>
        <v>0</v>
      </c>
      <c r="O45" s="17" t="str">
        <f t="shared" si="6"/>
        <v/>
      </c>
      <c r="P45" s="17" t="str">
        <f t="shared" si="6"/>
        <v/>
      </c>
      <c r="Q45" s="17" t="str">
        <f t="shared" si="6"/>
        <v/>
      </c>
    </row>
    <row r="46" spans="1:17" ht="58" customHeight="1">
      <c r="A46" s="10" t="s">
        <v>91</v>
      </c>
      <c r="B46" s="10" t="s">
        <v>82</v>
      </c>
      <c r="C46" s="12">
        <v>1</v>
      </c>
      <c r="D46" s="18">
        <v>46307</v>
      </c>
      <c r="E46" s="13">
        <f t="shared" si="1"/>
        <v>46313</v>
      </c>
      <c r="F46" s="12" t="str">
        <f t="shared" si="2"/>
        <v>Not finished</v>
      </c>
      <c r="G46" s="20">
        <v>0</v>
      </c>
      <c r="H46" s="10" t="s">
        <v>92</v>
      </c>
      <c r="I46" s="10" t="s">
        <v>84</v>
      </c>
      <c r="J46" s="14" t="str">
        <f t="shared" si="6"/>
        <v/>
      </c>
      <c r="K46" s="14" t="str">
        <f t="shared" si="6"/>
        <v/>
      </c>
      <c r="L46" s="14" t="str">
        <f t="shared" si="6"/>
        <v/>
      </c>
      <c r="M46" s="14" t="str">
        <f t="shared" si="6"/>
        <v/>
      </c>
      <c r="N46" s="14">
        <f t="shared" si="6"/>
        <v>0</v>
      </c>
      <c r="O46" s="14" t="str">
        <f t="shared" si="6"/>
        <v/>
      </c>
      <c r="P46" s="14" t="str">
        <f t="shared" si="6"/>
        <v/>
      </c>
      <c r="Q46" s="14" t="str">
        <f t="shared" si="6"/>
        <v/>
      </c>
    </row>
    <row r="47" spans="1:17" ht="58" customHeight="1">
      <c r="A47" s="11" t="s">
        <v>49</v>
      </c>
      <c r="B47" s="11" t="s">
        <v>82</v>
      </c>
      <c r="C47" s="15">
        <v>1</v>
      </c>
      <c r="D47" s="19">
        <v>46307</v>
      </c>
      <c r="E47" s="16">
        <f t="shared" si="1"/>
        <v>46313</v>
      </c>
      <c r="F47" s="15" t="str">
        <f t="shared" si="2"/>
        <v>Not finished</v>
      </c>
      <c r="G47" s="21">
        <v>0</v>
      </c>
      <c r="H47" s="11" t="s">
        <v>93</v>
      </c>
      <c r="I47" s="11" t="s">
        <v>84</v>
      </c>
      <c r="J47" s="17" t="str">
        <f t="shared" si="6"/>
        <v/>
      </c>
      <c r="K47" s="17" t="str">
        <f t="shared" si="6"/>
        <v/>
      </c>
      <c r="L47" s="17" t="str">
        <f t="shared" si="6"/>
        <v/>
      </c>
      <c r="M47" s="17" t="str">
        <f t="shared" si="6"/>
        <v/>
      </c>
      <c r="N47" s="17">
        <f t="shared" si="6"/>
        <v>0</v>
      </c>
      <c r="O47" s="17" t="str">
        <f t="shared" si="6"/>
        <v/>
      </c>
      <c r="P47" s="17" t="str">
        <f t="shared" si="6"/>
        <v/>
      </c>
      <c r="Q47" s="17" t="str">
        <f t="shared" si="6"/>
        <v/>
      </c>
    </row>
    <row r="48" spans="1:17" ht="58" customHeight="1">
      <c r="A48" s="10" t="s">
        <v>94</v>
      </c>
      <c r="B48" s="10" t="s">
        <v>82</v>
      </c>
      <c r="C48" s="12">
        <v>1</v>
      </c>
      <c r="D48" s="18">
        <v>46307</v>
      </c>
      <c r="E48" s="13">
        <f t="shared" si="1"/>
        <v>46313</v>
      </c>
      <c r="F48" s="12" t="str">
        <f t="shared" si="2"/>
        <v>Not finished</v>
      </c>
      <c r="G48" s="20">
        <v>0</v>
      </c>
      <c r="H48" s="10" t="s">
        <v>95</v>
      </c>
      <c r="I48" s="10" t="s">
        <v>84</v>
      </c>
      <c r="J48" s="14" t="str">
        <f t="shared" si="6"/>
        <v/>
      </c>
      <c r="K48" s="14" t="str">
        <f t="shared" si="6"/>
        <v/>
      </c>
      <c r="L48" s="14" t="str">
        <f t="shared" si="6"/>
        <v/>
      </c>
      <c r="M48" s="14" t="str">
        <f t="shared" si="6"/>
        <v/>
      </c>
      <c r="N48" s="14">
        <f t="shared" si="6"/>
        <v>0</v>
      </c>
      <c r="O48" s="14" t="str">
        <f t="shared" si="6"/>
        <v/>
      </c>
      <c r="P48" s="14" t="str">
        <f t="shared" si="6"/>
        <v/>
      </c>
      <c r="Q48" s="14" t="str">
        <f t="shared" si="6"/>
        <v/>
      </c>
    </row>
    <row r="49" spans="1:17" ht="58" customHeight="1">
      <c r="A49" s="11" t="s">
        <v>96</v>
      </c>
      <c r="B49" s="11" t="s">
        <v>97</v>
      </c>
      <c r="C49" s="15">
        <v>1</v>
      </c>
      <c r="D49" s="19">
        <v>46307</v>
      </c>
      <c r="E49" s="16">
        <f t="shared" si="1"/>
        <v>46313</v>
      </c>
      <c r="F49" s="15" t="str">
        <f t="shared" si="2"/>
        <v>Not finished</v>
      </c>
      <c r="G49" s="21">
        <v>0</v>
      </c>
      <c r="H49" s="11" t="s">
        <v>118</v>
      </c>
      <c r="I49" s="11" t="s">
        <v>84</v>
      </c>
      <c r="J49" s="17" t="str">
        <f t="shared" si="6"/>
        <v/>
      </c>
      <c r="K49" s="17" t="str">
        <f t="shared" si="6"/>
        <v/>
      </c>
      <c r="L49" s="17" t="str">
        <f t="shared" si="6"/>
        <v/>
      </c>
      <c r="M49" s="17" t="str">
        <f t="shared" si="6"/>
        <v/>
      </c>
      <c r="N49" s="17">
        <f t="shared" si="6"/>
        <v>0</v>
      </c>
      <c r="O49" s="17" t="str">
        <f t="shared" si="6"/>
        <v/>
      </c>
      <c r="P49" s="17" t="str">
        <f t="shared" si="6"/>
        <v/>
      </c>
      <c r="Q49" s="17" t="str">
        <f t="shared" si="6"/>
        <v/>
      </c>
    </row>
    <row r="50" spans="1:17" ht="58" customHeight="1">
      <c r="A50" s="10" t="s">
        <v>98</v>
      </c>
      <c r="B50" s="10" t="s">
        <v>99</v>
      </c>
      <c r="C50" s="12">
        <v>1</v>
      </c>
      <c r="D50" s="18">
        <v>46314</v>
      </c>
      <c r="E50" s="13">
        <f t="shared" si="1"/>
        <v>46320</v>
      </c>
      <c r="F50" s="12" t="str">
        <f t="shared" si="2"/>
        <v>Not finished</v>
      </c>
      <c r="G50" s="20">
        <v>0</v>
      </c>
      <c r="H50" s="10" t="s">
        <v>100</v>
      </c>
      <c r="I50" s="10" t="s">
        <v>84</v>
      </c>
      <c r="J50" s="14" t="str">
        <f t="shared" si="6"/>
        <v/>
      </c>
      <c r="K50" s="14" t="str">
        <f t="shared" si="6"/>
        <v/>
      </c>
      <c r="L50" s="14" t="str">
        <f t="shared" si="6"/>
        <v/>
      </c>
      <c r="M50" s="14" t="str">
        <f t="shared" si="6"/>
        <v/>
      </c>
      <c r="N50" s="14" t="str">
        <f t="shared" si="6"/>
        <v/>
      </c>
      <c r="O50" s="14">
        <f t="shared" si="6"/>
        <v>0</v>
      </c>
      <c r="P50" s="14" t="str">
        <f t="shared" si="6"/>
        <v/>
      </c>
      <c r="Q50" s="14" t="str">
        <f t="shared" si="6"/>
        <v/>
      </c>
    </row>
    <row r="51" spans="1:17" ht="58" customHeight="1">
      <c r="A51" s="11" t="s">
        <v>101</v>
      </c>
      <c r="B51" s="11" t="s">
        <v>102</v>
      </c>
      <c r="C51" s="15">
        <v>1</v>
      </c>
      <c r="D51" s="19">
        <v>46314</v>
      </c>
      <c r="E51" s="16">
        <f t="shared" si="1"/>
        <v>46320</v>
      </c>
      <c r="F51" s="15" t="str">
        <f t="shared" si="2"/>
        <v>Not finished</v>
      </c>
      <c r="G51" s="21">
        <v>0</v>
      </c>
      <c r="H51" s="11" t="s">
        <v>103</v>
      </c>
      <c r="I51" s="11" t="s">
        <v>84</v>
      </c>
      <c r="J51" s="17" t="str">
        <f t="shared" si="6"/>
        <v/>
      </c>
      <c r="K51" s="17" t="str">
        <f t="shared" si="6"/>
        <v/>
      </c>
      <c r="L51" s="17" t="str">
        <f t="shared" si="6"/>
        <v/>
      </c>
      <c r="M51" s="17" t="str">
        <f t="shared" si="6"/>
        <v/>
      </c>
      <c r="N51" s="17" t="str">
        <f t="shared" si="6"/>
        <v/>
      </c>
      <c r="O51" s="17">
        <f t="shared" si="6"/>
        <v>0</v>
      </c>
      <c r="P51" s="17" t="str">
        <f t="shared" si="6"/>
        <v/>
      </c>
      <c r="Q51" s="17" t="str">
        <f t="shared" si="6"/>
        <v/>
      </c>
    </row>
    <row r="52" spans="1:17" ht="58" customHeight="1">
      <c r="A52" s="10" t="s">
        <v>104</v>
      </c>
      <c r="B52" s="10" t="s">
        <v>102</v>
      </c>
      <c r="C52" s="12">
        <v>1</v>
      </c>
      <c r="D52" s="18">
        <v>46314</v>
      </c>
      <c r="E52" s="13">
        <f t="shared" si="1"/>
        <v>46320</v>
      </c>
      <c r="F52" s="12" t="str">
        <f t="shared" si="2"/>
        <v>Not finished</v>
      </c>
      <c r="G52" s="20">
        <v>0</v>
      </c>
      <c r="H52" s="10" t="s">
        <v>105</v>
      </c>
      <c r="I52" s="10" t="s">
        <v>84</v>
      </c>
      <c r="J52" s="14" t="str">
        <f t="shared" si="6"/>
        <v/>
      </c>
      <c r="K52" s="14" t="str">
        <f t="shared" si="6"/>
        <v/>
      </c>
      <c r="L52" s="14" t="str">
        <f t="shared" si="6"/>
        <v/>
      </c>
      <c r="M52" s="14" t="str">
        <f t="shared" si="6"/>
        <v/>
      </c>
      <c r="N52" s="14" t="str">
        <f t="shared" si="6"/>
        <v/>
      </c>
      <c r="O52" s="14">
        <f t="shared" si="6"/>
        <v>0</v>
      </c>
      <c r="P52" s="14" t="str">
        <f t="shared" si="6"/>
        <v/>
      </c>
      <c r="Q52" s="14" t="str">
        <f t="shared" si="6"/>
        <v/>
      </c>
    </row>
    <row r="53" spans="1:17" ht="58" customHeight="1">
      <c r="A53" s="11" t="s">
        <v>106</v>
      </c>
      <c r="B53" s="11" t="s">
        <v>107</v>
      </c>
      <c r="C53" s="15">
        <v>1</v>
      </c>
      <c r="D53" s="19">
        <v>46314</v>
      </c>
      <c r="E53" s="16">
        <f t="shared" si="1"/>
        <v>46320</v>
      </c>
      <c r="F53" s="15" t="str">
        <f t="shared" si="2"/>
        <v>Not finished</v>
      </c>
      <c r="G53" s="21">
        <v>0</v>
      </c>
      <c r="H53" s="11" t="s">
        <v>108</v>
      </c>
      <c r="I53" s="11" t="s">
        <v>84</v>
      </c>
      <c r="J53" s="17" t="str">
        <f t="shared" si="6"/>
        <v/>
      </c>
      <c r="K53" s="17" t="str">
        <f t="shared" si="6"/>
        <v/>
      </c>
      <c r="L53" s="17" t="str">
        <f t="shared" si="6"/>
        <v/>
      </c>
      <c r="M53" s="17" t="str">
        <f t="shared" si="6"/>
        <v/>
      </c>
      <c r="N53" s="17" t="str">
        <f t="shared" si="6"/>
        <v/>
      </c>
      <c r="O53" s="17">
        <f t="shared" si="6"/>
        <v>0</v>
      </c>
      <c r="P53" s="17" t="str">
        <f t="shared" si="6"/>
        <v/>
      </c>
      <c r="Q53" s="17" t="str">
        <f t="shared" si="6"/>
        <v/>
      </c>
    </row>
    <row r="54" spans="1:17" ht="58" customHeight="1">
      <c r="A54" s="10" t="s">
        <v>109</v>
      </c>
      <c r="B54" s="10" t="s">
        <v>110</v>
      </c>
      <c r="C54" s="12">
        <v>1</v>
      </c>
      <c r="D54" s="18">
        <v>46321</v>
      </c>
      <c r="E54" s="13">
        <f t="shared" si="1"/>
        <v>46327</v>
      </c>
      <c r="F54" s="12" t="str">
        <f t="shared" si="2"/>
        <v>Not finished</v>
      </c>
      <c r="G54" s="20">
        <v>0</v>
      </c>
      <c r="H54" s="10" t="s">
        <v>111</v>
      </c>
      <c r="I54" s="10" t="s">
        <v>84</v>
      </c>
      <c r="J54" s="14" t="str">
        <f t="shared" si="6"/>
        <v/>
      </c>
      <c r="K54" s="14" t="str">
        <f t="shared" si="6"/>
        <v/>
      </c>
      <c r="L54" s="14" t="str">
        <f t="shared" si="6"/>
        <v/>
      </c>
      <c r="M54" s="14" t="str">
        <f t="shared" si="6"/>
        <v/>
      </c>
      <c r="N54" s="14" t="str">
        <f t="shared" si="6"/>
        <v/>
      </c>
      <c r="O54" s="14" t="str">
        <f t="shared" si="6"/>
        <v/>
      </c>
      <c r="P54" s="14">
        <f t="shared" si="6"/>
        <v>0</v>
      </c>
      <c r="Q54" s="14" t="str">
        <f t="shared" si="6"/>
        <v/>
      </c>
    </row>
  </sheetData>
  <conditionalFormatting sqref="J11:Q54">
    <cfRule type="expression" dxfId="2" priority="1">
      <formula>AND(ISNUMBER(J11),J11=1)</formula>
    </cfRule>
    <cfRule type="expression" dxfId="1" priority="2">
      <formula>AND(ISNUMBER(J11),J11&gt;0,J11&lt;1)</formula>
    </cfRule>
    <cfRule type="expression" dxfId="0" priority="3">
      <formula>AND(ISNUMBER(J11),J11=0)</formula>
    </cfRule>
  </conditionalFormatting>
  <dataValidations count="2">
    <dataValidation type="decimal" sqref="G11:G54" xr:uid="{00000000-0002-0000-0000-000000000000}">
      <formula1>0</formula1>
      <formula2>1</formula2>
    </dataValidation>
    <dataValidation type="custom" sqref="D11:D54" xr:uid="{00000000-0002-0000-0000-000001000000}">
      <formula1>WEEKDAY(D11,2)=1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Hookset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JD Reighard</cp:lastModifiedBy>
  <dcterms:modified xsi:type="dcterms:W3CDTF">2026-10-02T17:15:13Z</dcterms:modified>
</cp:coreProperties>
</file>